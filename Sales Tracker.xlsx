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ΙΑΝΟΥΑΡΙΟΣ" sheetId="1" state="visible" r:id="rId3"/>
    <sheet name="ΦΕΒΡΟΥΑΡΙΟΣ" sheetId="2" state="visible" r:id="rId4"/>
    <sheet name="Q1 2026" sheetId="3" state="visible" r:id="rId5"/>
    <sheet name="Q42025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<sst xmlns="http://schemas.openxmlformats.org/spreadsheetml/2006/main" count="103" uniqueCount="20">
  <si>
    <t xml:space="preserve">Date</t>
  </si>
  <si>
    <t xml:space="preserve">Maria Tasiou</t>
  </si>
  <si>
    <t xml:space="preserve">Nikos Mousas</t>
  </si>
  <si>
    <t xml:space="preserve">Giwrgos Grimanis</t>
  </si>
  <si>
    <t xml:space="preserve">Nikolas Panoutsopoulos</t>
  </si>
  <si>
    <t xml:space="preserve">Nefeli Merko</t>
  </si>
  <si>
    <t xml:space="preserve">Average</t>
  </si>
  <si>
    <t xml:space="preserve">Acquisition P1</t>
  </si>
  <si>
    <t xml:space="preserve">Acquisition P4</t>
  </si>
  <si>
    <t xml:space="preserve">Offtake P5</t>
  </si>
  <si>
    <t xml:space="preserve">TOTAL:</t>
  </si>
  <si>
    <t xml:space="preserve">TOTAL TEAM</t>
  </si>
  <si>
    <t xml:space="preserve">DAYS OF WORK</t>
  </si>
  <si>
    <t xml:space="preserve">EXCPECTED TARGET</t>
  </si>
  <si>
    <t xml:space="preserve">%</t>
  </si>
  <si>
    <t xml:space="preserve">BONUS</t>
  </si>
  <si>
    <t xml:space="preserve">EXCPECTED PILLAR</t>
  </si>
  <si>
    <t xml:space="preserve">Team Total</t>
  </si>
  <si>
    <t xml:space="preserve">Daily Acquisition Target</t>
  </si>
  <si>
    <t xml:space="preserve">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</si>
</sst>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800]dddd&quot;, &quot;mmmm\ dd&quot;, &quot;yyyy"/>
    <numFmt numFmtId="166" formatCode="0.00"/>
    <numFmt numFmtId="167" formatCode="0.00%"/>
  </numFmts>
  <fonts count="13">
    <font>
      <sz val="11"/>
      <color theme="1"/>
      <name val="Calibri"/>
      <family val="0"/>
      <charset val="1"/>
    </font>
    <font>
      <sz val="10"/>
      <name val="Arial"/>
      <family val="0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  <font>
      <b val="true"/>
      <sz val="11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theme="1"/>
      <name val="Calibri"/>
      <family val="0"/>
      <charset val="1"/>
    </font>
    <font>
      <sz val="9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0"/>
      <color rgb="FFFFFF00"/>
      <name val="Calibri"/>
      <family val="0"/>
      <charset val="1"/>
    </font>
    <font>
      <b val="true"/>
      <sz val="11"/>
      <color rgb="FF1155CC"/>
      <name val="Calibri"/>
      <family val="0"/>
      <charset val="1"/>
    </font>
    <font>
      <sz val="11"/>
      <color rgb="FF111111"/>
      <name val="Calibri"/>
      <family val="0"/>
      <charset val="1"/>
    </font>
    <font>
      <b val="true"/>
      <i val="true"/>
      <sz val="11"/>
      <color theme="1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B6DDE8"/>
        <bgColor rgb="FFDBE5F1"/>
      </patternFill>
    </fill>
    <fill>
      <patternFill patternType="solid">
        <fgColor rgb="FFFFF2CC"/>
        <bgColor rgb="FFFCE5CD"/>
      </patternFill>
    </fill>
    <fill>
      <patternFill patternType="solid">
        <fgColor rgb="FFFBD4B4"/>
        <bgColor rgb="FFFCE5CD"/>
      </patternFill>
    </fill>
    <fill>
      <patternFill patternType="solid">
        <fgColor rgb="FF92D050"/>
        <bgColor rgb="FFC0C0C0"/>
      </patternFill>
    </fill>
    <fill>
      <patternFill patternType="solid">
        <fgColor rgb="FF073763"/>
        <bgColor rgb="FF333333"/>
      </patternFill>
    </fill>
    <fill>
      <patternFill patternType="solid">
        <fgColor rgb="FFDBE5F1"/>
        <bgColor rgb="FFB6DDE8"/>
      </patternFill>
    </fill>
    <fill>
      <patternFill patternType="solid">
        <fgColor rgb="FFFFC000"/>
        <bgColor rgb="FFFF9900"/>
      </patternFill>
    </fill>
    <fill>
      <patternFill patternType="solid">
        <fgColor theme="1"/>
        <bgColor rgb="FF111111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FF2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thick"/>
      <top style="medium"/>
      <bottom/>
      <diagonal/>
    </border>
    <border diagonalUp="false" diagonalDown="false">
      <left style="thick"/>
      <right/>
      <top style="medium"/>
      <bottom/>
      <diagonal/>
    </border>
    <border diagonalUp="false" diagonalDown="false">
      <left style="thick"/>
      <right style="medium"/>
      <top style="medium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medium"/>
      <right style="thick"/>
      <top style="thin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 style="hair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2A6099"/>
      </left>
      <right style="thin"/>
      <top style="thin">
        <color rgb="FF2A6099"/>
      </top>
      <bottom style="thin">
        <color rgb="FF2A6099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1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BE5F1"/>
      <rgbColor rgb="FF660066"/>
      <rgbColor rgb="FFFF8080"/>
      <rgbColor rgb="FF1155CC"/>
      <rgbColor rgb="FFB6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BD4B4"/>
      <rgbColor rgb="FF3366FF"/>
      <rgbColor rgb="FF33CCCC"/>
      <rgbColor rgb="FF92D050"/>
      <rgbColor rgb="FFFFC000"/>
      <rgbColor rgb="FFFF9900"/>
      <rgbColor rgb="FFFF6600"/>
      <rgbColor rgb="FF2A6099"/>
      <rgbColor rgb="FF969696"/>
      <rgbColor rgb="FF073763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34" activeCellId="0" sqref="C3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8"/>
  </cols>
  <sheetData>
    <row r="1" customFormat="false" ht="15" hidden="false" customHeight="false" outlineLevel="0" collapsed="false">
      <c r="A1" s="2" t="s">
        <v>0</v>
      </c>
      <c r="B1" s="3" t="s">
        <v>1</v>
      </c>
      <c r="C1" s="3"/>
      <c r="D1" s="3"/>
      <c r="E1" s="4" t="s">
        <v>2</v>
      </c>
      <c r="F1" s="4"/>
      <c r="G1" s="4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6" t="s">
        <v>6</v>
      </c>
      <c r="R1" s="6"/>
      <c r="S1" s="6"/>
    </row>
    <row r="2" customFormat="false" ht="15" hidden="false" customHeight="false" outlineLevel="0" collapsed="false">
      <c r="A2" s="2"/>
      <c r="B2" s="7" t="s">
        <v>7</v>
      </c>
      <c r="C2" s="8" t="s">
        <v>8</v>
      </c>
      <c r="D2" s="9" t="s">
        <v>9</v>
      </c>
      <c r="E2" s="7" t="s">
        <v>7</v>
      </c>
      <c r="F2" s="8" t="s">
        <v>8</v>
      </c>
      <c r="G2" s="9" t="s">
        <v>9</v>
      </c>
      <c r="H2" s="7" t="s">
        <v>7</v>
      </c>
      <c r="I2" s="10" t="s">
        <v>8</v>
      </c>
      <c r="J2" s="9" t="s">
        <v>9</v>
      </c>
      <c r="K2" s="7" t="s">
        <v>7</v>
      </c>
      <c r="L2" s="8" t="s">
        <v>8</v>
      </c>
      <c r="M2" s="9" t="s">
        <v>9</v>
      </c>
      <c r="N2" s="7" t="s">
        <v>7</v>
      </c>
      <c r="O2" s="8" t="s">
        <v>8</v>
      </c>
      <c r="P2" s="9" t="s">
        <v>9</v>
      </c>
      <c r="Q2" s="7" t="s">
        <v>7</v>
      </c>
      <c r="R2" s="8" t="s">
        <v>8</v>
      </c>
      <c r="S2" s="9" t="s">
        <v>9</v>
      </c>
    </row>
    <row r="3" customFormat="false" ht="15" hidden="false" customHeight="false" outlineLevel="0" collapsed="false">
      <c r="A3" s="11" t="n">
        <v>46023</v>
      </c>
      <c r="B3" s="12"/>
      <c r="C3" s="13"/>
      <c r="D3" s="13"/>
      <c r="E3" s="12"/>
      <c r="F3" s="13"/>
      <c r="G3" s="13"/>
      <c r="H3" s="12"/>
      <c r="I3" s="13"/>
      <c r="J3" s="14"/>
      <c r="K3" s="13"/>
      <c r="L3" s="13"/>
      <c r="M3" s="14"/>
      <c r="N3" s="13"/>
      <c r="O3" s="13"/>
      <c r="P3" s="14"/>
      <c r="Q3" s="15"/>
      <c r="R3" s="15"/>
      <c r="S3" s="16" t="n">
        <f aca="false">D3+G3+J3+M3+P3</f>
        <v>0</v>
      </c>
    </row>
    <row r="4" customFormat="false" ht="15" hidden="false" customHeight="false" outlineLevel="0" collapsed="false">
      <c r="A4" s="17" t="n">
        <v>46024</v>
      </c>
      <c r="B4" s="12" t="n">
        <v>5</v>
      </c>
      <c r="C4" s="13" t="n">
        <v>0</v>
      </c>
      <c r="D4" s="13" t="n">
        <v>0</v>
      </c>
      <c r="E4" s="12" t="n">
        <v>0</v>
      </c>
      <c r="F4" s="13" t="n">
        <v>0</v>
      </c>
      <c r="G4" s="13" t="n">
        <v>0</v>
      </c>
      <c r="H4" s="12" t="n">
        <v>1</v>
      </c>
      <c r="I4" s="13" t="n">
        <v>0</v>
      </c>
      <c r="J4" s="14" t="n">
        <v>0</v>
      </c>
      <c r="K4" s="13" t="n">
        <v>4</v>
      </c>
      <c r="L4" s="13" t="n">
        <v>0</v>
      </c>
      <c r="M4" s="14" t="n">
        <v>0</v>
      </c>
      <c r="N4" s="13"/>
      <c r="O4" s="13"/>
      <c r="P4" s="14"/>
      <c r="Q4" s="15" t="n">
        <f aca="false">B4+E4+H4+K4+N4</f>
        <v>10</v>
      </c>
      <c r="R4" s="15" t="n">
        <f aca="false">C4+F4+I4+L4+O4</f>
        <v>0</v>
      </c>
      <c r="S4" s="16" t="n">
        <f aca="false">D4+G4+J4+M4+P4</f>
        <v>0</v>
      </c>
    </row>
    <row r="5" customFormat="false" ht="15" hidden="false" customHeight="false" outlineLevel="0" collapsed="false">
      <c r="A5" s="11" t="n">
        <v>46025</v>
      </c>
      <c r="B5" s="12" t="n">
        <v>4</v>
      </c>
      <c r="C5" s="13" t="n">
        <v>2</v>
      </c>
      <c r="D5" s="13" t="n">
        <v>0</v>
      </c>
      <c r="E5" s="12" t="n">
        <v>1</v>
      </c>
      <c r="F5" s="13" t="n">
        <v>0</v>
      </c>
      <c r="G5" s="18" t="n">
        <v>1</v>
      </c>
      <c r="H5" s="13" t="n">
        <v>0</v>
      </c>
      <c r="I5" s="13" t="n">
        <v>1</v>
      </c>
      <c r="J5" s="14" t="n">
        <v>0</v>
      </c>
      <c r="K5" s="13" t="n">
        <v>5</v>
      </c>
      <c r="L5" s="13" t="n">
        <v>5</v>
      </c>
      <c r="M5" s="14" t="n">
        <v>0</v>
      </c>
      <c r="N5" s="13"/>
      <c r="O5" s="13"/>
      <c r="P5" s="14"/>
      <c r="Q5" s="15" t="n">
        <f aca="false">B5+E5+H5+K5+N5</f>
        <v>10</v>
      </c>
      <c r="R5" s="15" t="n">
        <f aca="false">C5+F5+I5+L5+O5</f>
        <v>8</v>
      </c>
      <c r="S5" s="16" t="n">
        <f aca="false">D5+G5+J5+M5+P5</f>
        <v>1</v>
      </c>
    </row>
    <row r="6" customFormat="false" ht="15" hidden="false" customHeight="false" outlineLevel="0" collapsed="false">
      <c r="A6" s="17" t="n">
        <v>46026</v>
      </c>
      <c r="B6" s="12"/>
      <c r="C6" s="13"/>
      <c r="D6" s="13"/>
      <c r="E6" s="12"/>
      <c r="F6" s="13"/>
      <c r="G6" s="13"/>
      <c r="H6" s="12"/>
      <c r="I6" s="13"/>
      <c r="J6" s="14"/>
      <c r="K6" s="13"/>
      <c r="L6" s="13"/>
      <c r="M6" s="14"/>
      <c r="N6" s="13"/>
      <c r="O6" s="13"/>
      <c r="P6" s="14"/>
      <c r="Q6" s="15"/>
      <c r="R6" s="15"/>
      <c r="S6" s="16" t="n">
        <f aca="false">D6+G6+J6+M6+P6</f>
        <v>0</v>
      </c>
    </row>
    <row r="7" customFormat="false" ht="15" hidden="false" customHeight="false" outlineLevel="0" collapsed="false">
      <c r="A7" s="11" t="n">
        <v>46027</v>
      </c>
      <c r="B7" s="12"/>
      <c r="C7" s="13"/>
      <c r="D7" s="13"/>
      <c r="E7" s="12"/>
      <c r="F7" s="13"/>
      <c r="G7" s="13"/>
      <c r="H7" s="12"/>
      <c r="I7" s="13"/>
      <c r="J7" s="14"/>
      <c r="K7" s="13"/>
      <c r="L7" s="13"/>
      <c r="M7" s="14"/>
      <c r="N7" s="13"/>
      <c r="O7" s="13"/>
      <c r="P7" s="14"/>
      <c r="Q7" s="15"/>
      <c r="R7" s="15"/>
      <c r="S7" s="16" t="n">
        <f aca="false">D7+G7+J7+M7+P7</f>
        <v>0</v>
      </c>
    </row>
    <row r="8" customFormat="false" ht="15" hidden="false" customHeight="false" outlineLevel="0" collapsed="false">
      <c r="A8" s="17" t="n">
        <v>46028</v>
      </c>
      <c r="B8" s="12"/>
      <c r="C8" s="13"/>
      <c r="D8" s="13"/>
      <c r="E8" s="12"/>
      <c r="F8" s="13"/>
      <c r="G8" s="13"/>
      <c r="H8" s="12"/>
      <c r="I8" s="13"/>
      <c r="J8" s="14"/>
      <c r="K8" s="13"/>
      <c r="L8" s="13"/>
      <c r="M8" s="14"/>
      <c r="N8" s="13"/>
      <c r="O8" s="13"/>
      <c r="P8" s="14"/>
      <c r="Q8" s="15"/>
      <c r="R8" s="15"/>
      <c r="S8" s="16" t="n">
        <f aca="false">D8+G8+J8+M8+P8</f>
        <v>0</v>
      </c>
    </row>
    <row r="9" customFormat="false" ht="15" hidden="false" customHeight="false" outlineLevel="0" collapsed="false">
      <c r="A9" s="11" t="n">
        <v>46029</v>
      </c>
      <c r="B9" s="12" t="n">
        <v>5</v>
      </c>
      <c r="C9" s="13" t="n">
        <v>1</v>
      </c>
      <c r="D9" s="13" t="n">
        <v>2</v>
      </c>
      <c r="E9" s="12" t="n">
        <v>1</v>
      </c>
      <c r="F9" s="13" t="n">
        <v>3</v>
      </c>
      <c r="G9" s="13" t="n">
        <v>0</v>
      </c>
      <c r="H9" s="12" t="n">
        <v>0</v>
      </c>
      <c r="I9" s="13" t="n">
        <v>1</v>
      </c>
      <c r="J9" s="14" t="n">
        <v>0</v>
      </c>
      <c r="K9" s="13" t="n">
        <v>6</v>
      </c>
      <c r="L9" s="13" t="n">
        <v>0</v>
      </c>
      <c r="M9" s="14" t="n">
        <v>0</v>
      </c>
      <c r="N9" s="13"/>
      <c r="O9" s="13"/>
      <c r="P9" s="14"/>
      <c r="Q9" s="15" t="n">
        <f aca="false">B9+E9+H9+K9+N9</f>
        <v>12</v>
      </c>
      <c r="R9" s="15" t="n">
        <f aca="false">C9+F9+I9+L9+O9</f>
        <v>5</v>
      </c>
      <c r="S9" s="16" t="n">
        <f aca="false">D9+G9+J9+M9+P9</f>
        <v>2</v>
      </c>
    </row>
    <row r="10" customFormat="false" ht="15" hidden="false" customHeight="false" outlineLevel="0" collapsed="false">
      <c r="A10" s="17" t="n">
        <v>46030</v>
      </c>
      <c r="B10" s="12" t="n">
        <v>6</v>
      </c>
      <c r="C10" s="13" t="n">
        <v>1</v>
      </c>
      <c r="D10" s="13" t="n">
        <v>1</v>
      </c>
      <c r="E10" s="12" t="n">
        <v>3</v>
      </c>
      <c r="F10" s="13" t="n">
        <v>0</v>
      </c>
      <c r="G10" s="13" t="n">
        <v>2</v>
      </c>
      <c r="H10" s="12" t="n">
        <v>0</v>
      </c>
      <c r="I10" s="13" t="n">
        <v>0</v>
      </c>
      <c r="J10" s="14" t="n">
        <v>0</v>
      </c>
      <c r="K10" s="13" t="n">
        <v>4</v>
      </c>
      <c r="L10" s="13" t="n">
        <v>0</v>
      </c>
      <c r="M10" s="14" t="n">
        <v>0</v>
      </c>
      <c r="N10" s="13"/>
      <c r="O10" s="13"/>
      <c r="P10" s="14"/>
      <c r="Q10" s="15" t="n">
        <f aca="false">B10+E10+H10+K10+N10</f>
        <v>13</v>
      </c>
      <c r="R10" s="15" t="n">
        <f aca="false">C10+F10+I10+L10+O10</f>
        <v>1</v>
      </c>
      <c r="S10" s="16" t="n">
        <f aca="false">D10+G10+J10+M10+P10</f>
        <v>3</v>
      </c>
    </row>
    <row r="11" customFormat="false" ht="15" hidden="false" customHeight="false" outlineLevel="0" collapsed="false">
      <c r="A11" s="11" t="n">
        <v>46031</v>
      </c>
      <c r="B11" s="12" t="n">
        <v>1</v>
      </c>
      <c r="C11" s="13" t="n">
        <v>0</v>
      </c>
      <c r="D11" s="13" t="n">
        <v>0</v>
      </c>
      <c r="E11" s="12" t="n">
        <v>2</v>
      </c>
      <c r="F11" s="13" t="n">
        <v>0</v>
      </c>
      <c r="G11" s="13" t="n">
        <v>3</v>
      </c>
      <c r="H11" s="12" t="n">
        <v>1</v>
      </c>
      <c r="I11" s="13" t="n">
        <v>3</v>
      </c>
      <c r="J11" s="14" t="n">
        <v>0</v>
      </c>
      <c r="K11" s="13" t="n">
        <v>2</v>
      </c>
      <c r="L11" s="13" t="n">
        <v>0</v>
      </c>
      <c r="M11" s="14" t="n">
        <v>0</v>
      </c>
      <c r="N11" s="13"/>
      <c r="O11" s="13"/>
      <c r="P11" s="14"/>
      <c r="Q11" s="15" t="n">
        <f aca="false">B11+E11+H11+K11+N11</f>
        <v>6</v>
      </c>
      <c r="R11" s="15" t="n">
        <f aca="false">C11+F11+I11+L11+O11</f>
        <v>3</v>
      </c>
      <c r="S11" s="16" t="n">
        <f aca="false">D11+G11+J11+M11+P11</f>
        <v>3</v>
      </c>
    </row>
    <row r="12" customFormat="false" ht="15" hidden="false" customHeight="false" outlineLevel="0" collapsed="false">
      <c r="A12" s="17" t="n">
        <v>46032</v>
      </c>
      <c r="B12" s="12" t="n">
        <v>3</v>
      </c>
      <c r="C12" s="13" t="n">
        <v>6</v>
      </c>
      <c r="D12" s="13" t="n">
        <v>0</v>
      </c>
      <c r="E12" s="12" t="n">
        <v>1</v>
      </c>
      <c r="F12" s="13" t="n">
        <v>0</v>
      </c>
      <c r="G12" s="13" t="n">
        <v>0</v>
      </c>
      <c r="H12" s="12" t="n">
        <v>6</v>
      </c>
      <c r="I12" s="13" t="n">
        <v>0</v>
      </c>
      <c r="J12" s="14" t="n">
        <v>0</v>
      </c>
      <c r="K12" s="13" t="n">
        <v>6</v>
      </c>
      <c r="L12" s="13" t="n">
        <v>1</v>
      </c>
      <c r="M12" s="14" t="n">
        <v>1</v>
      </c>
      <c r="N12" s="13"/>
      <c r="O12" s="13"/>
      <c r="P12" s="14"/>
      <c r="Q12" s="15" t="n">
        <f aca="false">B12+E12+H12+K12+N12</f>
        <v>16</v>
      </c>
      <c r="R12" s="15" t="n">
        <f aca="false">C12+F12+I12+L12+O12</f>
        <v>7</v>
      </c>
      <c r="S12" s="16" t="n">
        <f aca="false">D12+G12+J12+M12+P12</f>
        <v>1</v>
      </c>
    </row>
    <row r="13" customFormat="false" ht="15" hidden="false" customHeight="false" outlineLevel="0" collapsed="false">
      <c r="A13" s="11" t="n">
        <v>46033</v>
      </c>
      <c r="B13" s="12"/>
      <c r="C13" s="13"/>
      <c r="D13" s="13"/>
      <c r="E13" s="12"/>
      <c r="F13" s="13"/>
      <c r="G13" s="13"/>
      <c r="H13" s="12"/>
      <c r="I13" s="13"/>
      <c r="J13" s="14"/>
      <c r="K13" s="13"/>
      <c r="L13" s="13"/>
      <c r="M13" s="14"/>
      <c r="N13" s="13"/>
      <c r="O13" s="13"/>
      <c r="P13" s="14"/>
      <c r="Q13" s="15"/>
      <c r="R13" s="15"/>
      <c r="S13" s="16" t="n">
        <f aca="false">D13+G13+J13+M13+P13</f>
        <v>0</v>
      </c>
    </row>
    <row r="14" customFormat="false" ht="15" hidden="false" customHeight="false" outlineLevel="0" collapsed="false">
      <c r="A14" s="17" t="n">
        <v>46034</v>
      </c>
      <c r="B14" s="12"/>
      <c r="C14" s="13"/>
      <c r="D14" s="13"/>
      <c r="E14" s="12"/>
      <c r="F14" s="13"/>
      <c r="G14" s="13"/>
      <c r="H14" s="12"/>
      <c r="I14" s="13"/>
      <c r="J14" s="14"/>
      <c r="K14" s="13"/>
      <c r="L14" s="13"/>
      <c r="M14" s="14"/>
      <c r="N14" s="13"/>
      <c r="O14" s="13"/>
      <c r="P14" s="14"/>
      <c r="Q14" s="15"/>
      <c r="R14" s="15"/>
      <c r="S14" s="16" t="n">
        <f aca="false">D14+G14+J14+M14+P14</f>
        <v>0</v>
      </c>
    </row>
    <row r="15" customFormat="false" ht="15" hidden="false" customHeight="false" outlineLevel="0" collapsed="false">
      <c r="A15" s="11" t="n">
        <v>46035</v>
      </c>
      <c r="B15" s="12"/>
      <c r="C15" s="13"/>
      <c r="D15" s="13"/>
      <c r="E15" s="12"/>
      <c r="F15" s="13"/>
      <c r="G15" s="13"/>
      <c r="H15" s="12"/>
      <c r="I15" s="13"/>
      <c r="J15" s="14"/>
      <c r="K15" s="13"/>
      <c r="L15" s="13"/>
      <c r="M15" s="14"/>
      <c r="N15" s="13"/>
      <c r="O15" s="13"/>
      <c r="P15" s="14"/>
      <c r="Q15" s="15"/>
      <c r="R15" s="15"/>
      <c r="S15" s="16" t="n">
        <f aca="false">D15+G15+J15+M15+P15</f>
        <v>0</v>
      </c>
    </row>
    <row r="16" customFormat="false" ht="15" hidden="false" customHeight="false" outlineLevel="0" collapsed="false">
      <c r="A16" s="17" t="n">
        <v>46036</v>
      </c>
      <c r="B16" s="12"/>
      <c r="C16" s="13"/>
      <c r="D16" s="13"/>
      <c r="E16" s="12"/>
      <c r="F16" s="13"/>
      <c r="G16" s="13"/>
      <c r="H16" s="12"/>
      <c r="I16" s="13"/>
      <c r="J16" s="14"/>
      <c r="K16" s="13"/>
      <c r="L16" s="13"/>
      <c r="M16" s="14"/>
      <c r="N16" s="13"/>
      <c r="O16" s="13"/>
      <c r="P16" s="14"/>
      <c r="Q16" s="15"/>
      <c r="R16" s="15"/>
      <c r="S16" s="16" t="n">
        <f aca="false">D16+G16+J16+M16+P16</f>
        <v>0</v>
      </c>
    </row>
    <row r="17" customFormat="false" ht="15" hidden="false" customHeight="false" outlineLevel="0" collapsed="false">
      <c r="A17" s="11" t="n">
        <v>46037</v>
      </c>
      <c r="B17" s="12" t="n">
        <v>2</v>
      </c>
      <c r="C17" s="13" t="n">
        <v>1</v>
      </c>
      <c r="D17" s="13" t="n">
        <v>0</v>
      </c>
      <c r="E17" s="12" t="n">
        <v>5</v>
      </c>
      <c r="F17" s="13" t="n">
        <v>0</v>
      </c>
      <c r="G17" s="13" t="n">
        <v>0</v>
      </c>
      <c r="H17" s="12" t="n">
        <v>5</v>
      </c>
      <c r="I17" s="13" t="n">
        <v>1</v>
      </c>
      <c r="J17" s="14" t="n">
        <v>1</v>
      </c>
      <c r="K17" s="13" t="n">
        <v>5</v>
      </c>
      <c r="L17" s="13" t="n">
        <v>0</v>
      </c>
      <c r="M17" s="14" t="n">
        <v>0</v>
      </c>
      <c r="N17" s="13"/>
      <c r="O17" s="13"/>
      <c r="P17" s="14"/>
      <c r="Q17" s="15" t="n">
        <f aca="false">B17+E17+H17+K17+N17</f>
        <v>17</v>
      </c>
      <c r="R17" s="15" t="n">
        <f aca="false">C17+F17+I17+L17+O17</f>
        <v>2</v>
      </c>
      <c r="S17" s="16" t="n">
        <f aca="false">D17+G17+J17+M17+P17</f>
        <v>1</v>
      </c>
    </row>
    <row r="18" customFormat="false" ht="15" hidden="false" customHeight="false" outlineLevel="0" collapsed="false">
      <c r="A18" s="17" t="n">
        <v>46038</v>
      </c>
      <c r="B18" s="12"/>
      <c r="C18" s="13"/>
      <c r="D18" s="13"/>
      <c r="E18" s="12"/>
      <c r="F18" s="13"/>
      <c r="G18" s="13"/>
      <c r="H18" s="12"/>
      <c r="I18" s="13"/>
      <c r="J18" s="14"/>
      <c r="M18" s="14"/>
      <c r="N18" s="13"/>
      <c r="O18" s="13"/>
      <c r="P18" s="14"/>
      <c r="Q18" s="15"/>
      <c r="R18" s="15"/>
      <c r="S18" s="16" t="n">
        <f aca="false">D18+G18+J18+M18+P18</f>
        <v>0</v>
      </c>
    </row>
    <row r="19" customFormat="false" ht="15" hidden="false" customHeight="false" outlineLevel="0" collapsed="false">
      <c r="A19" s="11" t="n">
        <v>46039</v>
      </c>
      <c r="B19" s="12" t="n">
        <v>3</v>
      </c>
      <c r="C19" s="13" t="n">
        <v>3</v>
      </c>
      <c r="D19" s="13" t="n">
        <v>0</v>
      </c>
      <c r="E19" s="12" t="n">
        <v>1</v>
      </c>
      <c r="F19" s="13" t="n">
        <v>1</v>
      </c>
      <c r="G19" s="13" t="n">
        <v>0</v>
      </c>
      <c r="H19" s="12" t="n">
        <v>3</v>
      </c>
      <c r="I19" s="13" t="n">
        <v>1</v>
      </c>
      <c r="J19" s="14" t="n">
        <v>0</v>
      </c>
      <c r="K19" s="13" t="n">
        <v>4</v>
      </c>
      <c r="L19" s="13" t="n">
        <v>2</v>
      </c>
      <c r="M19" s="14" t="n">
        <v>0</v>
      </c>
      <c r="N19" s="13"/>
      <c r="O19" s="13"/>
      <c r="P19" s="14"/>
      <c r="Q19" s="15" t="n">
        <f aca="false">B19+E19+H19+K19+N19</f>
        <v>11</v>
      </c>
      <c r="R19" s="15" t="n">
        <f aca="false">C19+F19+I19+L19+O19</f>
        <v>7</v>
      </c>
      <c r="S19" s="16" t="n">
        <f aca="false">D19+G19+J19+M19+P19</f>
        <v>0</v>
      </c>
    </row>
    <row r="20" customFormat="false" ht="15" hidden="false" customHeight="false" outlineLevel="0" collapsed="false">
      <c r="A20" s="17" t="n">
        <v>46040</v>
      </c>
      <c r="B20" s="12"/>
      <c r="C20" s="13"/>
      <c r="D20" s="13"/>
      <c r="E20" s="12"/>
      <c r="F20" s="13"/>
      <c r="G20" s="13"/>
      <c r="H20" s="12"/>
      <c r="I20" s="13"/>
      <c r="J20" s="14"/>
      <c r="K20" s="13"/>
      <c r="L20" s="13"/>
      <c r="M20" s="14"/>
      <c r="N20" s="13"/>
      <c r="O20" s="13"/>
      <c r="P20" s="14"/>
      <c r="Q20" s="15"/>
      <c r="R20" s="15"/>
      <c r="S20" s="16" t="n">
        <f aca="false">D20+G20+J20+M20+P20</f>
        <v>0</v>
      </c>
    </row>
    <row r="21" customFormat="false" ht="15" hidden="false" customHeight="false" outlineLevel="0" collapsed="false">
      <c r="A21" s="11" t="n">
        <v>46041</v>
      </c>
      <c r="B21" s="12"/>
      <c r="C21" s="13"/>
      <c r="D21" s="13"/>
      <c r="E21" s="12"/>
      <c r="F21" s="13"/>
      <c r="G21" s="13"/>
      <c r="H21" s="12"/>
      <c r="I21" s="13"/>
      <c r="J21" s="14"/>
      <c r="K21" s="13"/>
      <c r="L21" s="13"/>
      <c r="M21" s="14"/>
      <c r="N21" s="13"/>
      <c r="O21" s="13"/>
      <c r="P21" s="14"/>
      <c r="Q21" s="15"/>
      <c r="R21" s="15"/>
      <c r="S21" s="16" t="n">
        <f aca="false">D21+G21+J21+M21+P21</f>
        <v>0</v>
      </c>
    </row>
    <row r="22" customFormat="false" ht="15" hidden="false" customHeight="false" outlineLevel="0" collapsed="false">
      <c r="A22" s="17" t="n">
        <v>46042</v>
      </c>
      <c r="B22" s="12" t="n">
        <v>0</v>
      </c>
      <c r="C22" s="13" t="n">
        <v>1</v>
      </c>
      <c r="D22" s="13" t="n">
        <v>0</v>
      </c>
      <c r="E22" s="12" t="n">
        <v>0</v>
      </c>
      <c r="F22" s="13" t="n">
        <v>0</v>
      </c>
      <c r="G22" s="13" t="n">
        <v>2</v>
      </c>
      <c r="H22" s="12" t="n">
        <v>0</v>
      </c>
      <c r="I22" s="13" t="n">
        <v>0</v>
      </c>
      <c r="J22" s="14" t="n">
        <v>0</v>
      </c>
      <c r="K22" s="13" t="n">
        <v>2</v>
      </c>
      <c r="L22" s="13" t="n">
        <v>1</v>
      </c>
      <c r="M22" s="14" t="n">
        <v>0</v>
      </c>
      <c r="N22" s="13"/>
      <c r="O22" s="13"/>
      <c r="P22" s="14"/>
      <c r="Q22" s="15" t="n">
        <f aca="false">B22+E22+H22+K22+N22</f>
        <v>2</v>
      </c>
      <c r="R22" s="15" t="n">
        <f aca="false">C22+F22+I22+L22+O22</f>
        <v>2</v>
      </c>
      <c r="S22" s="16" t="n">
        <f aca="false">D22+G22+J22+M22+P22</f>
        <v>2</v>
      </c>
    </row>
    <row r="23" customFormat="false" ht="15" hidden="false" customHeight="false" outlineLevel="0" collapsed="false">
      <c r="A23" s="11" t="n">
        <v>46043</v>
      </c>
      <c r="B23" s="12" t="n">
        <v>1</v>
      </c>
      <c r="C23" s="13" t="n">
        <v>1</v>
      </c>
      <c r="D23" s="13" t="n">
        <v>0</v>
      </c>
      <c r="E23" s="12" t="n">
        <v>8</v>
      </c>
      <c r="F23" s="13" t="n">
        <v>0</v>
      </c>
      <c r="G23" s="13" t="n">
        <v>0</v>
      </c>
      <c r="H23" s="12" t="n">
        <v>0</v>
      </c>
      <c r="I23" s="13" t="n">
        <v>0</v>
      </c>
      <c r="J23" s="14" t="n">
        <v>0</v>
      </c>
      <c r="K23" s="13" t="n">
        <v>1</v>
      </c>
      <c r="L23" s="13" t="n">
        <v>0</v>
      </c>
      <c r="M23" s="14" t="n">
        <v>0</v>
      </c>
      <c r="N23" s="13"/>
      <c r="O23" s="13"/>
      <c r="P23" s="14"/>
      <c r="Q23" s="15" t="n">
        <f aca="false">B23+E23+H23+K23+N23</f>
        <v>10</v>
      </c>
      <c r="R23" s="15" t="n">
        <f aca="false">C23+F23+I23+L23+O23</f>
        <v>1</v>
      </c>
      <c r="S23" s="16" t="n">
        <f aca="false">D23+G23+J23+M23+P23</f>
        <v>0</v>
      </c>
    </row>
    <row r="24" customFormat="false" ht="15" hidden="false" customHeight="false" outlineLevel="0" collapsed="false">
      <c r="A24" s="17" t="n">
        <v>46044</v>
      </c>
      <c r="B24" s="12" t="n">
        <v>1</v>
      </c>
      <c r="C24" s="13" t="n">
        <v>0</v>
      </c>
      <c r="D24" s="13" t="n">
        <v>0</v>
      </c>
      <c r="E24" s="12" t="n">
        <v>1</v>
      </c>
      <c r="F24" s="13" t="n">
        <v>0</v>
      </c>
      <c r="G24" s="13" t="n">
        <v>0</v>
      </c>
      <c r="H24" s="12" t="n">
        <v>1</v>
      </c>
      <c r="I24" s="13" t="n">
        <v>0</v>
      </c>
      <c r="J24" s="14" t="n">
        <v>0</v>
      </c>
      <c r="K24" s="13" t="n">
        <v>3</v>
      </c>
      <c r="L24" s="13" t="n">
        <v>1</v>
      </c>
      <c r="M24" s="14" t="n">
        <v>1</v>
      </c>
      <c r="N24" s="13" t="n">
        <v>1</v>
      </c>
      <c r="O24" s="13" t="n">
        <v>0</v>
      </c>
      <c r="P24" s="14" t="n">
        <v>0</v>
      </c>
      <c r="Q24" s="15" t="n">
        <f aca="false">B24+E24+H24+K24+N24</f>
        <v>7</v>
      </c>
      <c r="R24" s="15" t="n">
        <f aca="false">C24+F24+I24+L24+O24</f>
        <v>1</v>
      </c>
      <c r="S24" s="16" t="n">
        <f aca="false">D24+G24+J24+M24+P24</f>
        <v>1</v>
      </c>
    </row>
    <row r="25" customFormat="false" ht="15" hidden="false" customHeight="false" outlineLevel="0" collapsed="false">
      <c r="A25" s="11" t="n">
        <v>46045</v>
      </c>
      <c r="B25" s="12" t="n">
        <v>1</v>
      </c>
      <c r="C25" s="13" t="n">
        <v>3</v>
      </c>
      <c r="D25" s="13" t="n">
        <v>0</v>
      </c>
      <c r="E25" s="12" t="n">
        <v>1</v>
      </c>
      <c r="F25" s="13" t="n">
        <v>0</v>
      </c>
      <c r="G25" s="13" t="n">
        <v>0</v>
      </c>
      <c r="H25" s="12" t="n">
        <v>0</v>
      </c>
      <c r="I25" s="13" t="n">
        <v>0</v>
      </c>
      <c r="J25" s="14" t="n">
        <v>0</v>
      </c>
      <c r="K25" s="13" t="n">
        <v>2</v>
      </c>
      <c r="L25" s="13" t="n">
        <v>3</v>
      </c>
      <c r="M25" s="14" t="n">
        <v>1</v>
      </c>
      <c r="N25" s="13" t="n">
        <v>1</v>
      </c>
      <c r="O25" s="13" t="n">
        <v>2</v>
      </c>
      <c r="P25" s="14" t="n">
        <v>0</v>
      </c>
      <c r="Q25" s="15" t="n">
        <f aca="false">B25+E25+H25+K25+N25</f>
        <v>5</v>
      </c>
      <c r="R25" s="15" t="n">
        <f aca="false">C25+F25+I25+L25+O25</f>
        <v>8</v>
      </c>
      <c r="S25" s="16" t="n">
        <f aca="false">D25+G25+J25+M25+P25</f>
        <v>1</v>
      </c>
    </row>
    <row r="26" customFormat="false" ht="15" hidden="false" customHeight="false" outlineLevel="0" collapsed="false">
      <c r="A26" s="17" t="n">
        <v>46046</v>
      </c>
      <c r="B26" s="12" t="n">
        <v>3</v>
      </c>
      <c r="C26" s="13" t="n">
        <v>0</v>
      </c>
      <c r="D26" s="13" t="n">
        <v>0</v>
      </c>
      <c r="E26" s="12" t="n">
        <v>1</v>
      </c>
      <c r="F26" s="13" t="n">
        <v>1</v>
      </c>
      <c r="G26" s="13" t="n">
        <v>0</v>
      </c>
      <c r="H26" s="12" t="n">
        <v>0</v>
      </c>
      <c r="I26" s="13" t="n">
        <v>0</v>
      </c>
      <c r="J26" s="14" t="n">
        <v>0</v>
      </c>
      <c r="K26" s="15" t="n">
        <v>5</v>
      </c>
      <c r="L26" s="13" t="n">
        <v>0</v>
      </c>
      <c r="M26" s="14" t="n">
        <v>0</v>
      </c>
      <c r="N26" s="13" t="n">
        <v>1</v>
      </c>
      <c r="O26" s="13" t="n">
        <v>0</v>
      </c>
      <c r="P26" s="14" t="n">
        <v>0</v>
      </c>
      <c r="Q26" s="15" t="n">
        <f aca="false">B26+E26+H26+K26+N26</f>
        <v>10</v>
      </c>
      <c r="R26" s="15" t="n">
        <f aca="false">C26+F26+I26+L26+O26</f>
        <v>1</v>
      </c>
      <c r="S26" s="16" t="n">
        <f aca="false">D26+G26+J26+M26+P26</f>
        <v>0</v>
      </c>
    </row>
    <row r="27" customFormat="false" ht="15" hidden="false" customHeight="false" outlineLevel="0" collapsed="false">
      <c r="A27" s="11" t="n">
        <v>46047</v>
      </c>
      <c r="B27" s="12"/>
      <c r="C27" s="13"/>
      <c r="D27" s="13"/>
      <c r="E27" s="12"/>
      <c r="F27" s="13"/>
      <c r="G27" s="13"/>
      <c r="H27" s="12"/>
      <c r="I27" s="13"/>
      <c r="J27" s="14"/>
      <c r="K27" s="13"/>
      <c r="L27" s="13"/>
      <c r="M27" s="14"/>
      <c r="N27" s="13"/>
      <c r="O27" s="13"/>
      <c r="P27" s="14"/>
      <c r="Q27" s="15"/>
      <c r="R27" s="15"/>
      <c r="S27" s="16" t="n">
        <f aca="false">D27+G27+J27+M27+P27</f>
        <v>0</v>
      </c>
    </row>
    <row r="28" customFormat="false" ht="15" hidden="false" customHeight="false" outlineLevel="0" collapsed="false">
      <c r="A28" s="17" t="n">
        <v>46048</v>
      </c>
      <c r="B28" s="12"/>
      <c r="C28" s="13"/>
      <c r="D28" s="13"/>
      <c r="E28" s="12"/>
      <c r="F28" s="13"/>
      <c r="G28" s="13"/>
      <c r="H28" s="12"/>
      <c r="I28" s="13"/>
      <c r="J28" s="14"/>
      <c r="K28" s="13"/>
      <c r="L28" s="13"/>
      <c r="M28" s="14"/>
      <c r="N28" s="13"/>
      <c r="O28" s="13"/>
      <c r="P28" s="14"/>
      <c r="Q28" s="15"/>
      <c r="R28" s="15"/>
      <c r="S28" s="16" t="n">
        <f aca="false">D28+G28+J28+M28+P28</f>
        <v>0</v>
      </c>
    </row>
    <row r="29" customFormat="false" ht="15" hidden="false" customHeight="false" outlineLevel="0" collapsed="false">
      <c r="A29" s="11" t="n">
        <v>46049</v>
      </c>
      <c r="B29" s="12" t="n">
        <v>3</v>
      </c>
      <c r="C29" s="13" t="n">
        <v>3</v>
      </c>
      <c r="D29" s="13" t="n">
        <v>0</v>
      </c>
      <c r="E29" s="12"/>
      <c r="F29" s="13"/>
      <c r="G29" s="13"/>
      <c r="H29" s="12" t="n">
        <v>0</v>
      </c>
      <c r="I29" s="13" t="n">
        <v>5</v>
      </c>
      <c r="J29" s="14" t="n">
        <v>0</v>
      </c>
      <c r="K29" s="13" t="n">
        <v>1</v>
      </c>
      <c r="L29" s="13" t="n">
        <v>1</v>
      </c>
      <c r="M29" s="14" t="n">
        <v>0</v>
      </c>
      <c r="N29" s="13" t="n">
        <v>1</v>
      </c>
      <c r="O29" s="13" t="n">
        <v>1</v>
      </c>
      <c r="P29" s="14" t="n">
        <v>0</v>
      </c>
      <c r="Q29" s="15" t="n">
        <f aca="false">B29+E29+H29+K29+N29</f>
        <v>5</v>
      </c>
      <c r="R29" s="15" t="n">
        <f aca="false">C29+F29+I29+L29+O29</f>
        <v>10</v>
      </c>
      <c r="S29" s="16" t="n">
        <f aca="false">D29+G29+J29+M29+P29</f>
        <v>0</v>
      </c>
    </row>
    <row r="30" customFormat="false" ht="15" hidden="false" customHeight="false" outlineLevel="0" collapsed="false">
      <c r="A30" s="17" t="n">
        <v>46050</v>
      </c>
      <c r="B30" s="12" t="n">
        <v>3</v>
      </c>
      <c r="C30" s="13" t="n">
        <v>0</v>
      </c>
      <c r="D30" s="13" t="n">
        <v>1</v>
      </c>
      <c r="E30" s="12" t="n">
        <v>1</v>
      </c>
      <c r="F30" s="13" t="n">
        <v>1</v>
      </c>
      <c r="G30" s="13" t="n">
        <v>0</v>
      </c>
      <c r="H30" s="12" t="n">
        <v>1</v>
      </c>
      <c r="I30" s="13" t="n">
        <v>1</v>
      </c>
      <c r="J30" s="14" t="n">
        <v>1</v>
      </c>
      <c r="K30" s="13" t="n">
        <v>1</v>
      </c>
      <c r="L30" s="13" t="n">
        <v>1</v>
      </c>
      <c r="M30" s="14" t="n">
        <v>0</v>
      </c>
      <c r="N30" s="13" t="n">
        <v>4</v>
      </c>
      <c r="O30" s="13" t="n">
        <v>3</v>
      </c>
      <c r="P30" s="14" t="n">
        <v>0</v>
      </c>
      <c r="Q30" s="15" t="n">
        <f aca="false">B30+E30+H30+K30+N30</f>
        <v>10</v>
      </c>
      <c r="R30" s="15" t="n">
        <f aca="false">C30+F30+I30+L30+O30</f>
        <v>6</v>
      </c>
      <c r="S30" s="16" t="n">
        <f aca="false">D30+G30+J30+M30+P30</f>
        <v>2</v>
      </c>
    </row>
    <row r="31" customFormat="false" ht="15" hidden="false" customHeight="false" outlineLevel="0" collapsed="false">
      <c r="A31" s="11" t="n">
        <v>46051</v>
      </c>
      <c r="B31" s="12" t="n">
        <v>7</v>
      </c>
      <c r="C31" s="13" t="n">
        <v>1</v>
      </c>
      <c r="D31" s="13" t="n">
        <v>2</v>
      </c>
      <c r="E31" s="12" t="n">
        <v>1</v>
      </c>
      <c r="F31" s="13" t="n">
        <v>2</v>
      </c>
      <c r="G31" s="13" t="n">
        <v>0</v>
      </c>
      <c r="H31" s="12" t="n">
        <v>0</v>
      </c>
      <c r="I31" s="13" t="n">
        <v>1</v>
      </c>
      <c r="J31" s="14" t="n">
        <v>2</v>
      </c>
      <c r="K31" s="13" t="n">
        <v>4</v>
      </c>
      <c r="L31" s="13" t="n">
        <v>0</v>
      </c>
      <c r="M31" s="14" t="n">
        <v>0</v>
      </c>
      <c r="N31" s="13" t="n">
        <v>0</v>
      </c>
      <c r="O31" s="13" t="n">
        <v>0</v>
      </c>
      <c r="P31" s="14" t="n">
        <v>0</v>
      </c>
      <c r="Q31" s="15" t="n">
        <f aca="false">B31+E31+H31+K31+N31</f>
        <v>12</v>
      </c>
      <c r="R31" s="15" t="n">
        <f aca="false">C31+F31+I31+L31+O31</f>
        <v>4</v>
      </c>
      <c r="S31" s="16" t="n">
        <f aca="false">D31+G31+J31+M31+P31</f>
        <v>4</v>
      </c>
    </row>
    <row r="32" customFormat="false" ht="15" hidden="false" customHeight="false" outlineLevel="0" collapsed="false">
      <c r="A32" s="17" t="n">
        <v>46052</v>
      </c>
      <c r="B32" s="12" t="n">
        <v>1</v>
      </c>
      <c r="C32" s="13" t="n">
        <v>0</v>
      </c>
      <c r="D32" s="13" t="n">
        <v>3</v>
      </c>
      <c r="E32" s="12" t="n">
        <v>2</v>
      </c>
      <c r="F32" s="13" t="n">
        <v>1</v>
      </c>
      <c r="G32" s="13" t="n">
        <v>0</v>
      </c>
      <c r="H32" s="12" t="n">
        <v>0</v>
      </c>
      <c r="I32" s="13" t="n">
        <v>0</v>
      </c>
      <c r="J32" s="14" t="n">
        <v>3</v>
      </c>
      <c r="K32" s="13" t="n">
        <v>1</v>
      </c>
      <c r="L32" s="13" t="n">
        <v>1</v>
      </c>
      <c r="M32" s="14" t="n">
        <v>0</v>
      </c>
      <c r="N32" s="13" t="n">
        <v>3</v>
      </c>
      <c r="O32" s="13" t="n">
        <v>1</v>
      </c>
      <c r="P32" s="14" t="n">
        <v>0</v>
      </c>
      <c r="Q32" s="15" t="n">
        <f aca="false">B32+E32+H32+K32+N32</f>
        <v>7</v>
      </c>
      <c r="R32" s="15" t="n">
        <f aca="false">C32+F32+I32+L32+O32</f>
        <v>3</v>
      </c>
      <c r="S32" s="16" t="n">
        <f aca="false">D32+G32+J32+M32+P32</f>
        <v>6</v>
      </c>
    </row>
    <row r="33" customFormat="false" ht="15" hidden="false" customHeight="false" outlineLevel="0" collapsed="false">
      <c r="A33" s="19" t="n">
        <v>46053</v>
      </c>
      <c r="B33" s="13" t="n">
        <v>2</v>
      </c>
      <c r="C33" s="13" t="n">
        <v>2</v>
      </c>
      <c r="D33" s="13" t="n">
        <v>4</v>
      </c>
      <c r="E33" s="13" t="n">
        <v>2</v>
      </c>
      <c r="F33" s="13" t="n">
        <v>0</v>
      </c>
      <c r="G33" s="18" t="n">
        <v>0</v>
      </c>
      <c r="H33" s="13" t="n">
        <v>1</v>
      </c>
      <c r="I33" s="13" t="n">
        <v>0</v>
      </c>
      <c r="J33" s="14" t="n">
        <v>4</v>
      </c>
      <c r="K33" s="13" t="n">
        <v>3</v>
      </c>
      <c r="L33" s="13" t="n">
        <v>3</v>
      </c>
      <c r="M33" s="14" t="n">
        <v>0</v>
      </c>
      <c r="N33" s="13" t="n">
        <v>1</v>
      </c>
      <c r="O33" s="13" t="n">
        <v>1</v>
      </c>
      <c r="P33" s="14" t="n">
        <v>0</v>
      </c>
      <c r="Q33" s="15" t="n">
        <f aca="false">B33+E33+H33+K33+N33</f>
        <v>9</v>
      </c>
      <c r="R33" s="15" t="n">
        <f aca="false">C33+F33+I33+L33+O33</f>
        <v>6</v>
      </c>
      <c r="S33" s="16" t="n">
        <f aca="false">D33+G33+J33+M33+P33</f>
        <v>8</v>
      </c>
    </row>
    <row r="34" customFormat="false" ht="15" hidden="false" customHeight="false" outlineLevel="0" collapsed="false">
      <c r="A34" s="20" t="s">
        <v>10</v>
      </c>
      <c r="B34" s="21" t="n">
        <f aca="false">SUM(B3:B33)</f>
        <v>51</v>
      </c>
      <c r="C34" s="21" t="n">
        <f aca="false">SUM(C3:C33)</f>
        <v>25</v>
      </c>
      <c r="D34" s="21" t="n">
        <f aca="false">SUM(D3:D32)</f>
        <v>9</v>
      </c>
      <c r="E34" s="21" t="n">
        <f aca="false">SUM(E3:E33)</f>
        <v>31</v>
      </c>
      <c r="F34" s="21" t="n">
        <f aca="false">SUM(F3:F32)</f>
        <v>9</v>
      </c>
      <c r="G34" s="21" t="n">
        <f aca="false">SUM(G3:G33)</f>
        <v>8</v>
      </c>
      <c r="H34" s="21" t="n">
        <f aca="false">SUM(H3:H33)</f>
        <v>19</v>
      </c>
      <c r="I34" s="21" t="n">
        <f aca="false">SUM(I3:I33)</f>
        <v>14</v>
      </c>
      <c r="J34" s="21" t="n">
        <f aca="false">SUM(J3:J32)</f>
        <v>7</v>
      </c>
      <c r="K34" s="21" t="n">
        <f aca="false">SUM(K3:K33)</f>
        <v>59</v>
      </c>
      <c r="L34" s="21" t="n">
        <f aca="false">SUM(L3:L33)</f>
        <v>19</v>
      </c>
      <c r="M34" s="21" t="n">
        <f aca="false">SUM(M3:M33)</f>
        <v>3</v>
      </c>
      <c r="N34" s="21" t="n">
        <f aca="false">SUM(N3:N33)</f>
        <v>12</v>
      </c>
      <c r="O34" s="21" t="n">
        <f aca="false">SUM(O3:O33)</f>
        <v>8</v>
      </c>
      <c r="P34" s="21" t="n">
        <f aca="false">SUM(P3:P32)</f>
        <v>0</v>
      </c>
      <c r="Q34" s="21" t="n">
        <f aca="false">AVERAGE(Q3:Q33)</f>
        <v>9.55555555555556</v>
      </c>
      <c r="R34" s="21" t="n">
        <f aca="false">AVERAGE(R3:R33)</f>
        <v>4.16666666666667</v>
      </c>
      <c r="S34" s="21" t="n">
        <f aca="false">AVERAGE(S3:S33)</f>
        <v>1.12903225806452</v>
      </c>
    </row>
    <row r="35" customFormat="false" ht="15" hidden="false" customHeight="false" outlineLevel="0" collapsed="false">
      <c r="I35" s="22"/>
      <c r="Q35" s="23" t="s">
        <v>11</v>
      </c>
      <c r="R35" s="23"/>
    </row>
    <row r="36" customFormat="false" ht="15" hidden="false" customHeight="false" outlineLevel="0" collapsed="false">
      <c r="I36" s="22"/>
      <c r="Q36" s="7" t="s">
        <v>7</v>
      </c>
      <c r="R36" s="24" t="n">
        <f aca="false">B34+E34+H34+K34+N34</f>
        <v>172</v>
      </c>
    </row>
    <row r="37" customFormat="false" ht="15" hidden="false" customHeight="false" outlineLevel="0" collapsed="false">
      <c r="A37" s="25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Q37" s="27" t="s">
        <v>8</v>
      </c>
      <c r="R37" s="24" t="n">
        <f aca="false">C34+F34+I34+L34+O34</f>
        <v>75</v>
      </c>
    </row>
    <row r="38" customFormat="false" ht="15" hidden="false" customHeight="false" outlineLevel="0" collapsed="false">
      <c r="B38" s="28"/>
      <c r="I38" s="22"/>
      <c r="Q38" s="29" t="s">
        <v>9</v>
      </c>
      <c r="R38" s="30" t="n">
        <f aca="false">D34+G34+J34+M34+P34</f>
        <v>27</v>
      </c>
    </row>
    <row r="39" customFormat="false" ht="15" hidden="false" customHeight="false" outlineLevel="0" collapsed="false">
      <c r="B39" s="28"/>
      <c r="I39" s="22"/>
    </row>
    <row r="40" customFormat="false" ht="15" hidden="false" customHeight="false" outlineLevel="0" collapsed="false">
      <c r="I40" s="22"/>
    </row>
    <row r="41" customFormat="false" ht="15" hidden="false" customHeight="false" outlineLevel="0" collapsed="false">
      <c r="I41" s="22"/>
    </row>
    <row r="42" customFormat="false" ht="15" hidden="false" customHeight="false" outlineLevel="0" collapsed="false">
      <c r="I42" s="22"/>
    </row>
    <row r="43" customFormat="false" ht="15" hidden="false" customHeight="false" outlineLevel="0" collapsed="false">
      <c r="I43" s="22"/>
    </row>
    <row r="44" customFormat="false" ht="15" hidden="false" customHeight="false" outlineLevel="0" collapsed="false">
      <c r="I44" s="22"/>
    </row>
    <row r="45" customFormat="false" ht="15" hidden="false" customHeight="false" outlineLevel="0" collapsed="false">
      <c r="I45" s="22"/>
    </row>
    <row r="46" customFormat="false" ht="15" hidden="false" customHeight="false" outlineLevel="0" collapsed="false">
      <c r="I46" s="22"/>
    </row>
    <row r="47" customFormat="false" ht="15" hidden="false" customHeight="false" outlineLevel="0" collapsed="false">
      <c r="I47" s="22"/>
    </row>
    <row r="48" customFormat="false" ht="15" hidden="false" customHeight="false" outlineLevel="0" collapsed="false">
      <c r="I48" s="22"/>
    </row>
    <row r="49" customFormat="false" ht="15" hidden="false" customHeight="false" outlineLevel="0" collapsed="false">
      <c r="I49" s="22"/>
    </row>
    <row r="50" customFormat="false" ht="15" hidden="false" customHeight="false" outlineLevel="0" collapsed="false">
      <c r="I50" s="22"/>
    </row>
    <row r="51" customFormat="false" ht="15" hidden="false" customHeight="false" outlineLevel="0" collapsed="false">
      <c r="I51" s="22"/>
    </row>
    <row r="52" customFormat="false" ht="15" hidden="false" customHeight="false" outlineLevel="0" collapsed="false">
      <c r="I52" s="22"/>
    </row>
    <row r="53" customFormat="false" ht="15" hidden="false" customHeight="false" outlineLevel="0" collapsed="false">
      <c r="I53" s="22"/>
    </row>
    <row r="54" customFormat="false" ht="15" hidden="false" customHeight="false" outlineLevel="0" collapsed="false">
      <c r="I54" s="22"/>
    </row>
    <row r="55" customFormat="false" ht="15" hidden="false" customHeight="false" outlineLevel="0" collapsed="false">
      <c r="I55" s="22"/>
    </row>
    <row r="56" customFormat="false" ht="15" hidden="false" customHeight="false" outlineLevel="0" collapsed="false">
      <c r="I56" s="22"/>
    </row>
    <row r="57" customFormat="false" ht="15" hidden="false" customHeight="false" outlineLevel="0" collapsed="false">
      <c r="I57" s="22"/>
    </row>
    <row r="58" customFormat="false" ht="15" hidden="false" customHeight="false" outlineLevel="0" collapsed="false">
      <c r="I58" s="22"/>
    </row>
    <row r="59" customFormat="false" ht="15" hidden="false" customHeight="false" outlineLevel="0" collapsed="false">
      <c r="I59" s="22"/>
    </row>
    <row r="60" customFormat="false" ht="15" hidden="false" customHeight="false" outlineLevel="0" collapsed="false">
      <c r="I60" s="22"/>
    </row>
    <row r="61" customFormat="false" ht="15" hidden="false" customHeight="false" outlineLevel="0" collapsed="false">
      <c r="I61" s="22"/>
    </row>
    <row r="62" customFormat="false" ht="15" hidden="false" customHeight="false" outlineLevel="0" collapsed="false">
      <c r="I62" s="22"/>
    </row>
    <row r="63" customFormat="false" ht="15" hidden="false" customHeight="false" outlineLevel="0" collapsed="false">
      <c r="I63" s="22"/>
    </row>
    <row r="64" customFormat="false" ht="15" hidden="false" customHeight="false" outlineLevel="0" collapsed="false">
      <c r="I64" s="22"/>
    </row>
    <row r="65" customFormat="false" ht="15" hidden="false" customHeight="false" outlineLevel="0" collapsed="false">
      <c r="I65" s="22"/>
    </row>
    <row r="66" customFormat="false" ht="15" hidden="false" customHeight="false" outlineLevel="0" collapsed="false">
      <c r="I66" s="22"/>
    </row>
    <row r="67" customFormat="false" ht="15" hidden="false" customHeight="false" outlineLevel="0" collapsed="false">
      <c r="I67" s="22"/>
    </row>
    <row r="68" customFormat="false" ht="15" hidden="false" customHeight="false" outlineLevel="0" collapsed="false">
      <c r="I68" s="22"/>
    </row>
    <row r="69" customFormat="false" ht="15" hidden="false" customHeight="false" outlineLevel="0" collapsed="false">
      <c r="I69" s="22"/>
    </row>
    <row r="70" customFormat="false" ht="15" hidden="false" customHeight="false" outlineLevel="0" collapsed="false">
      <c r="I70" s="22"/>
    </row>
    <row r="71" customFormat="false" ht="15" hidden="false" customHeight="false" outlineLevel="0" collapsed="false">
      <c r="I71" s="22"/>
    </row>
    <row r="72" customFormat="false" ht="15" hidden="false" customHeight="false" outlineLevel="0" collapsed="false">
      <c r="I72" s="22"/>
    </row>
    <row r="73" customFormat="false" ht="15" hidden="false" customHeight="false" outlineLevel="0" collapsed="false">
      <c r="I73" s="22"/>
    </row>
    <row r="74" customFormat="false" ht="15" hidden="false" customHeight="false" outlineLevel="0" collapsed="false">
      <c r="I74" s="22"/>
    </row>
    <row r="75" customFormat="false" ht="15" hidden="false" customHeight="false" outlineLevel="0" collapsed="false">
      <c r="I75" s="22"/>
    </row>
    <row r="76" customFormat="false" ht="15" hidden="false" customHeight="false" outlineLevel="0" collapsed="false">
      <c r="I76" s="22"/>
    </row>
    <row r="77" customFormat="false" ht="15" hidden="false" customHeight="false" outlineLevel="0" collapsed="false">
      <c r="I77" s="22"/>
    </row>
    <row r="78" customFormat="false" ht="15" hidden="false" customHeight="false" outlineLevel="0" collapsed="false">
      <c r="I78" s="22"/>
    </row>
    <row r="79" customFormat="false" ht="15" hidden="false" customHeight="false" outlineLevel="0" collapsed="false">
      <c r="I79" s="22"/>
    </row>
    <row r="80" customFormat="false" ht="15" hidden="false" customHeight="false" outlineLevel="0" collapsed="false">
      <c r="I80" s="22"/>
    </row>
    <row r="81" customFormat="false" ht="15" hidden="false" customHeight="false" outlineLevel="0" collapsed="false">
      <c r="I81" s="22"/>
    </row>
    <row r="82" customFormat="false" ht="15" hidden="false" customHeight="false" outlineLevel="0" collapsed="false">
      <c r="I82" s="22"/>
    </row>
    <row r="83" customFormat="false" ht="15" hidden="false" customHeight="false" outlineLevel="0" collapsed="false">
      <c r="I83" s="22"/>
    </row>
    <row r="84" customFormat="false" ht="15" hidden="false" customHeight="false" outlineLevel="0" collapsed="false">
      <c r="I84" s="22"/>
    </row>
    <row r="85" customFormat="false" ht="15" hidden="false" customHeight="false" outlineLevel="0" collapsed="false">
      <c r="I85" s="22"/>
    </row>
    <row r="86" customFormat="false" ht="15" hidden="false" customHeight="false" outlineLevel="0" collapsed="false">
      <c r="I86" s="22"/>
    </row>
    <row r="87" customFormat="false" ht="15" hidden="false" customHeight="false" outlineLevel="0" collapsed="false">
      <c r="I87" s="22"/>
    </row>
    <row r="88" customFormat="false" ht="15" hidden="false" customHeight="false" outlineLevel="0" collapsed="false">
      <c r="I88" s="22"/>
    </row>
    <row r="89" customFormat="false" ht="15" hidden="false" customHeight="false" outlineLevel="0" collapsed="false">
      <c r="I89" s="22"/>
    </row>
    <row r="90" customFormat="false" ht="15" hidden="false" customHeight="false" outlineLevel="0" collapsed="false">
      <c r="I90" s="22"/>
    </row>
    <row r="91" customFormat="false" ht="15" hidden="false" customHeight="false" outlineLevel="0" collapsed="false">
      <c r="I91" s="22"/>
    </row>
    <row r="92" customFormat="false" ht="15" hidden="false" customHeight="false" outlineLevel="0" collapsed="false">
      <c r="I92" s="22"/>
    </row>
    <row r="93" customFormat="false" ht="15" hidden="false" customHeight="false" outlineLevel="0" collapsed="false">
      <c r="I93" s="22"/>
    </row>
    <row r="94" customFormat="false" ht="15" hidden="false" customHeight="false" outlineLevel="0" collapsed="false">
      <c r="I94" s="22"/>
    </row>
    <row r="95" customFormat="false" ht="15" hidden="false" customHeight="false" outlineLevel="0" collapsed="false">
      <c r="I95" s="22"/>
    </row>
    <row r="96" customFormat="false" ht="15" hidden="false" customHeight="false" outlineLevel="0" collapsed="false">
      <c r="I96" s="22"/>
    </row>
    <row r="97" customFormat="false" ht="15" hidden="false" customHeight="false" outlineLevel="0" collapsed="false">
      <c r="I97" s="22"/>
    </row>
    <row r="98" customFormat="false" ht="15" hidden="false" customHeight="false" outlineLevel="0" collapsed="false">
      <c r="I98" s="22"/>
    </row>
    <row r="99" customFormat="false" ht="15" hidden="false" customHeight="false" outlineLevel="0" collapsed="false">
      <c r="I99" s="22"/>
    </row>
    <row r="100" customFormat="false" ht="15" hidden="false" customHeight="false" outlineLevel="0" collapsed="false">
      <c r="I100" s="22"/>
    </row>
    <row r="101" customFormat="false" ht="15" hidden="false" customHeight="false" outlineLevel="0" collapsed="false">
      <c r="I101" s="22"/>
    </row>
    <row r="102" customFormat="false" ht="15" hidden="false" customHeight="false" outlineLevel="0" collapsed="false">
      <c r="I102" s="22"/>
    </row>
    <row r="103" customFormat="false" ht="15" hidden="false" customHeight="false" outlineLevel="0" collapsed="false">
      <c r="I103" s="22"/>
    </row>
    <row r="104" customFormat="false" ht="15" hidden="false" customHeight="false" outlineLevel="0" collapsed="false">
      <c r="I104" s="22"/>
    </row>
    <row r="105" customFormat="false" ht="15" hidden="false" customHeight="false" outlineLevel="0" collapsed="false">
      <c r="I105" s="22"/>
    </row>
    <row r="106" customFormat="false" ht="15" hidden="false" customHeight="false" outlineLevel="0" collapsed="false">
      <c r="I106" s="22"/>
    </row>
    <row r="107" customFormat="false" ht="15" hidden="false" customHeight="false" outlineLevel="0" collapsed="false">
      <c r="I107" s="22"/>
    </row>
    <row r="108" customFormat="false" ht="15" hidden="false" customHeight="false" outlineLevel="0" collapsed="false">
      <c r="I108" s="22"/>
    </row>
    <row r="109" customFormat="false" ht="15" hidden="false" customHeight="false" outlineLevel="0" collapsed="false">
      <c r="I109" s="22"/>
    </row>
    <row r="110" customFormat="false" ht="15" hidden="false" customHeight="false" outlineLevel="0" collapsed="false">
      <c r="I110" s="22"/>
    </row>
    <row r="111" customFormat="false" ht="15" hidden="false" customHeight="false" outlineLevel="0" collapsed="false">
      <c r="I111" s="22"/>
    </row>
    <row r="112" customFormat="false" ht="15" hidden="false" customHeight="false" outlineLevel="0" collapsed="false">
      <c r="I112" s="22"/>
    </row>
    <row r="113" customFormat="false" ht="15" hidden="false" customHeight="false" outlineLevel="0" collapsed="false">
      <c r="I113" s="22"/>
    </row>
    <row r="114" customFormat="false" ht="15" hidden="false" customHeight="false" outlineLevel="0" collapsed="false">
      <c r="I114" s="22"/>
    </row>
    <row r="115" customFormat="false" ht="15" hidden="false" customHeight="false" outlineLevel="0" collapsed="false">
      <c r="I115" s="22"/>
    </row>
    <row r="116" customFormat="false" ht="15" hidden="false" customHeight="false" outlineLevel="0" collapsed="false">
      <c r="I116" s="22"/>
    </row>
    <row r="117" customFormat="false" ht="15" hidden="false" customHeight="false" outlineLevel="0" collapsed="false">
      <c r="I117" s="22"/>
    </row>
    <row r="118" customFormat="false" ht="15" hidden="false" customHeight="false" outlineLevel="0" collapsed="false">
      <c r="I118" s="22"/>
    </row>
    <row r="119" customFormat="false" ht="15" hidden="false" customHeight="false" outlineLevel="0" collapsed="false">
      <c r="I119" s="22"/>
    </row>
    <row r="120" customFormat="false" ht="15" hidden="false" customHeight="false" outlineLevel="0" collapsed="false">
      <c r="I120" s="22"/>
    </row>
    <row r="121" customFormat="false" ht="15" hidden="false" customHeight="false" outlineLevel="0" collapsed="false">
      <c r="I121" s="22"/>
    </row>
    <row r="122" customFormat="false" ht="15" hidden="false" customHeight="false" outlineLevel="0" collapsed="false">
      <c r="I122" s="22"/>
    </row>
    <row r="123" customFormat="false" ht="15" hidden="false" customHeight="false" outlineLevel="0" collapsed="false">
      <c r="I123" s="22"/>
    </row>
    <row r="124" customFormat="false" ht="15" hidden="false" customHeight="false" outlineLevel="0" collapsed="false">
      <c r="I124" s="22"/>
    </row>
    <row r="125" customFormat="false" ht="15" hidden="false" customHeight="false" outlineLevel="0" collapsed="false">
      <c r="I125" s="22"/>
    </row>
    <row r="126" customFormat="false" ht="15" hidden="false" customHeight="false" outlineLevel="0" collapsed="false">
      <c r="I126" s="22"/>
    </row>
    <row r="127" customFormat="false" ht="15" hidden="false" customHeight="false" outlineLevel="0" collapsed="false">
      <c r="I127" s="22"/>
    </row>
    <row r="128" customFormat="false" ht="15" hidden="false" customHeight="false" outlineLevel="0" collapsed="false">
      <c r="I128" s="22"/>
    </row>
    <row r="129" customFormat="false" ht="15" hidden="false" customHeight="false" outlineLevel="0" collapsed="false">
      <c r="I129" s="22"/>
    </row>
    <row r="130" customFormat="false" ht="15" hidden="false" customHeight="false" outlineLevel="0" collapsed="false">
      <c r="I130" s="22"/>
    </row>
    <row r="131" customFormat="false" ht="15" hidden="false" customHeight="false" outlineLevel="0" collapsed="false">
      <c r="I131" s="22"/>
    </row>
    <row r="132" customFormat="false" ht="15" hidden="false" customHeight="false" outlineLevel="0" collapsed="false">
      <c r="I132" s="22"/>
    </row>
    <row r="133" customFormat="false" ht="15" hidden="false" customHeight="false" outlineLevel="0" collapsed="false">
      <c r="I133" s="22"/>
    </row>
    <row r="134" customFormat="false" ht="15" hidden="false" customHeight="false" outlineLevel="0" collapsed="false">
      <c r="I134" s="22"/>
    </row>
    <row r="135" customFormat="false" ht="15" hidden="false" customHeight="false" outlineLevel="0" collapsed="false">
      <c r="I135" s="22"/>
    </row>
    <row r="136" customFormat="false" ht="15" hidden="false" customHeight="false" outlineLevel="0" collapsed="false">
      <c r="I136" s="22"/>
    </row>
    <row r="137" customFormat="false" ht="15" hidden="false" customHeight="false" outlineLevel="0" collapsed="false">
      <c r="I137" s="22"/>
    </row>
    <row r="138" customFormat="false" ht="15" hidden="false" customHeight="false" outlineLevel="0" collapsed="false">
      <c r="I138" s="22"/>
    </row>
    <row r="139" customFormat="false" ht="15" hidden="false" customHeight="false" outlineLevel="0" collapsed="false">
      <c r="I139" s="22"/>
    </row>
    <row r="140" customFormat="false" ht="15" hidden="false" customHeight="false" outlineLevel="0" collapsed="false">
      <c r="I140" s="22"/>
    </row>
    <row r="141" customFormat="false" ht="15" hidden="false" customHeight="false" outlineLevel="0" collapsed="false">
      <c r="I141" s="22"/>
    </row>
    <row r="142" customFormat="false" ht="15" hidden="false" customHeight="false" outlineLevel="0" collapsed="false">
      <c r="I142" s="22"/>
    </row>
    <row r="143" customFormat="false" ht="15" hidden="false" customHeight="false" outlineLevel="0" collapsed="false">
      <c r="I143" s="22"/>
    </row>
    <row r="144" customFormat="false" ht="15" hidden="false" customHeight="false" outlineLevel="0" collapsed="false">
      <c r="I144" s="22"/>
    </row>
    <row r="145" customFormat="false" ht="15" hidden="false" customHeight="false" outlineLevel="0" collapsed="false">
      <c r="I145" s="22"/>
    </row>
    <row r="146" customFormat="false" ht="15" hidden="false" customHeight="false" outlineLevel="0" collapsed="false">
      <c r="I146" s="22"/>
    </row>
    <row r="147" customFormat="false" ht="15" hidden="false" customHeight="false" outlineLevel="0" collapsed="false">
      <c r="I147" s="22"/>
    </row>
    <row r="148" customFormat="false" ht="15" hidden="false" customHeight="false" outlineLevel="0" collapsed="false">
      <c r="I148" s="22"/>
    </row>
    <row r="149" customFormat="false" ht="15" hidden="false" customHeight="false" outlineLevel="0" collapsed="false">
      <c r="I149" s="22"/>
    </row>
    <row r="150" customFormat="false" ht="15" hidden="false" customHeight="false" outlineLevel="0" collapsed="false">
      <c r="I150" s="22"/>
    </row>
    <row r="151" customFormat="false" ht="15" hidden="false" customHeight="false" outlineLevel="0" collapsed="false">
      <c r="I151" s="22"/>
    </row>
    <row r="152" customFormat="false" ht="15" hidden="false" customHeight="false" outlineLevel="0" collapsed="false">
      <c r="I152" s="22"/>
    </row>
    <row r="153" customFormat="false" ht="15" hidden="false" customHeight="false" outlineLevel="0" collapsed="false">
      <c r="I153" s="22"/>
    </row>
    <row r="154" customFormat="false" ht="15" hidden="false" customHeight="false" outlineLevel="0" collapsed="false">
      <c r="I154" s="22"/>
    </row>
    <row r="155" customFormat="false" ht="15" hidden="false" customHeight="false" outlineLevel="0" collapsed="false">
      <c r="I155" s="22"/>
    </row>
    <row r="156" customFormat="false" ht="15" hidden="false" customHeight="false" outlineLevel="0" collapsed="false">
      <c r="I156" s="22"/>
    </row>
    <row r="157" customFormat="false" ht="15" hidden="false" customHeight="false" outlineLevel="0" collapsed="false">
      <c r="I157" s="22"/>
    </row>
    <row r="158" customFormat="false" ht="15" hidden="false" customHeight="false" outlineLevel="0" collapsed="false">
      <c r="I158" s="22"/>
    </row>
    <row r="159" customFormat="false" ht="15" hidden="false" customHeight="false" outlineLevel="0" collapsed="false">
      <c r="I159" s="22"/>
    </row>
    <row r="160" customFormat="false" ht="15" hidden="false" customHeight="false" outlineLevel="0" collapsed="false">
      <c r="I160" s="22"/>
    </row>
    <row r="161" customFormat="false" ht="15" hidden="false" customHeight="false" outlineLevel="0" collapsed="false">
      <c r="I161" s="22"/>
    </row>
    <row r="162" customFormat="false" ht="15" hidden="false" customHeight="false" outlineLevel="0" collapsed="false">
      <c r="I162" s="22"/>
    </row>
    <row r="163" customFormat="false" ht="15" hidden="false" customHeight="false" outlineLevel="0" collapsed="false">
      <c r="I163" s="22"/>
    </row>
    <row r="164" customFormat="false" ht="15" hidden="false" customHeight="false" outlineLevel="0" collapsed="false">
      <c r="I164" s="22"/>
    </row>
    <row r="165" customFormat="false" ht="15" hidden="false" customHeight="false" outlineLevel="0" collapsed="false">
      <c r="I165" s="22"/>
    </row>
    <row r="166" customFormat="false" ht="15" hidden="false" customHeight="false" outlineLevel="0" collapsed="false">
      <c r="I166" s="22"/>
    </row>
    <row r="167" customFormat="false" ht="15" hidden="false" customHeight="false" outlineLevel="0" collapsed="false">
      <c r="I167" s="22"/>
    </row>
    <row r="168" customFormat="false" ht="15" hidden="false" customHeight="false" outlineLevel="0" collapsed="false">
      <c r="I168" s="22"/>
    </row>
    <row r="169" customFormat="false" ht="15" hidden="false" customHeight="false" outlineLevel="0" collapsed="false">
      <c r="I169" s="22"/>
    </row>
    <row r="170" customFormat="false" ht="15" hidden="false" customHeight="false" outlineLevel="0" collapsed="false">
      <c r="I170" s="22"/>
    </row>
    <row r="171" customFormat="false" ht="15" hidden="false" customHeight="false" outlineLevel="0" collapsed="false">
      <c r="I171" s="22"/>
    </row>
    <row r="172" customFormat="false" ht="15" hidden="false" customHeight="false" outlineLevel="0" collapsed="false">
      <c r="I172" s="22"/>
    </row>
    <row r="173" customFormat="false" ht="15" hidden="false" customHeight="false" outlineLevel="0" collapsed="false">
      <c r="I173" s="22"/>
    </row>
    <row r="174" customFormat="false" ht="15" hidden="false" customHeight="false" outlineLevel="0" collapsed="false">
      <c r="I174" s="22"/>
    </row>
    <row r="175" customFormat="false" ht="15" hidden="false" customHeight="false" outlineLevel="0" collapsed="false">
      <c r="I175" s="22"/>
    </row>
    <row r="176" customFormat="false" ht="15" hidden="false" customHeight="false" outlineLevel="0" collapsed="false">
      <c r="I176" s="22"/>
    </row>
    <row r="177" customFormat="false" ht="15" hidden="false" customHeight="false" outlineLevel="0" collapsed="false">
      <c r="I177" s="22"/>
    </row>
    <row r="178" customFormat="false" ht="15" hidden="false" customHeight="false" outlineLevel="0" collapsed="false">
      <c r="I178" s="22"/>
    </row>
    <row r="179" customFormat="false" ht="15" hidden="false" customHeight="false" outlineLevel="0" collapsed="false">
      <c r="I179" s="22"/>
    </row>
    <row r="180" customFormat="false" ht="15" hidden="false" customHeight="false" outlineLevel="0" collapsed="false">
      <c r="I180" s="22"/>
    </row>
    <row r="181" customFormat="false" ht="15" hidden="false" customHeight="false" outlineLevel="0" collapsed="false">
      <c r="I181" s="22"/>
    </row>
    <row r="182" customFormat="false" ht="15" hidden="false" customHeight="false" outlineLevel="0" collapsed="false">
      <c r="I182" s="22"/>
    </row>
    <row r="183" customFormat="false" ht="15" hidden="false" customHeight="false" outlineLevel="0" collapsed="false">
      <c r="I183" s="22"/>
    </row>
    <row r="184" customFormat="false" ht="15" hidden="false" customHeight="false" outlineLevel="0" collapsed="false">
      <c r="I184" s="22"/>
    </row>
    <row r="185" customFormat="false" ht="15" hidden="false" customHeight="false" outlineLevel="0" collapsed="false">
      <c r="I185" s="22"/>
    </row>
    <row r="186" customFormat="false" ht="15" hidden="false" customHeight="false" outlineLevel="0" collapsed="false">
      <c r="I186" s="22"/>
    </row>
    <row r="187" customFormat="false" ht="15" hidden="false" customHeight="false" outlineLevel="0" collapsed="false">
      <c r="I187" s="22"/>
    </row>
    <row r="188" customFormat="false" ht="15" hidden="false" customHeight="false" outlineLevel="0" collapsed="false">
      <c r="I188" s="22"/>
    </row>
    <row r="189" customFormat="false" ht="15" hidden="false" customHeight="false" outlineLevel="0" collapsed="false">
      <c r="I189" s="22"/>
    </row>
    <row r="190" customFormat="false" ht="15" hidden="false" customHeight="false" outlineLevel="0" collapsed="false">
      <c r="I190" s="22"/>
    </row>
    <row r="191" customFormat="false" ht="15" hidden="false" customHeight="false" outlineLevel="0" collapsed="false">
      <c r="I191" s="22"/>
    </row>
    <row r="192" customFormat="false" ht="15" hidden="false" customHeight="false" outlineLevel="0" collapsed="false">
      <c r="I192" s="22"/>
    </row>
    <row r="193" customFormat="false" ht="15" hidden="false" customHeight="false" outlineLevel="0" collapsed="false">
      <c r="I193" s="22"/>
    </row>
    <row r="194" customFormat="false" ht="15" hidden="false" customHeight="false" outlineLevel="0" collapsed="false">
      <c r="I194" s="22"/>
    </row>
    <row r="195" customFormat="false" ht="15" hidden="false" customHeight="false" outlineLevel="0" collapsed="false">
      <c r="I195" s="22"/>
    </row>
    <row r="196" customFormat="false" ht="15" hidden="false" customHeight="false" outlineLevel="0" collapsed="false">
      <c r="I196" s="22"/>
    </row>
    <row r="197" customFormat="false" ht="15" hidden="false" customHeight="false" outlineLevel="0" collapsed="false">
      <c r="I197" s="22"/>
    </row>
    <row r="198" customFormat="false" ht="15" hidden="false" customHeight="false" outlineLevel="0" collapsed="false">
      <c r="I198" s="22"/>
    </row>
    <row r="199" customFormat="false" ht="15" hidden="false" customHeight="false" outlineLevel="0" collapsed="false">
      <c r="I199" s="22"/>
    </row>
    <row r="200" customFormat="false" ht="15" hidden="false" customHeight="false" outlineLevel="0" collapsed="false">
      <c r="I200" s="22"/>
    </row>
    <row r="201" customFormat="false" ht="15" hidden="false" customHeight="false" outlineLevel="0" collapsed="false">
      <c r="I201" s="22"/>
    </row>
    <row r="202" customFormat="false" ht="15" hidden="false" customHeight="false" outlineLevel="0" collapsed="false">
      <c r="I202" s="22"/>
    </row>
    <row r="203" customFormat="false" ht="15" hidden="false" customHeight="false" outlineLevel="0" collapsed="false">
      <c r="I203" s="22"/>
    </row>
    <row r="204" customFormat="false" ht="15" hidden="false" customHeight="false" outlineLevel="0" collapsed="false">
      <c r="I204" s="22"/>
    </row>
    <row r="205" customFormat="false" ht="15" hidden="false" customHeight="false" outlineLevel="0" collapsed="false">
      <c r="I205" s="22"/>
    </row>
    <row r="206" customFormat="false" ht="15" hidden="false" customHeight="false" outlineLevel="0" collapsed="false">
      <c r="I206" s="22"/>
    </row>
    <row r="207" customFormat="false" ht="15" hidden="false" customHeight="false" outlineLevel="0" collapsed="false">
      <c r="I207" s="22"/>
    </row>
    <row r="208" customFormat="false" ht="15" hidden="false" customHeight="false" outlineLevel="0" collapsed="false">
      <c r="I208" s="22"/>
    </row>
    <row r="209" customFormat="false" ht="15" hidden="false" customHeight="false" outlineLevel="0" collapsed="false">
      <c r="I209" s="22"/>
    </row>
    <row r="210" customFormat="false" ht="15" hidden="false" customHeight="false" outlineLevel="0" collapsed="false">
      <c r="I210" s="22"/>
    </row>
    <row r="211" customFormat="false" ht="15" hidden="false" customHeight="false" outlineLevel="0" collapsed="false">
      <c r="I211" s="22"/>
    </row>
    <row r="212" customFormat="false" ht="15" hidden="false" customHeight="false" outlineLevel="0" collapsed="false">
      <c r="I212" s="22"/>
    </row>
    <row r="213" customFormat="false" ht="15" hidden="false" customHeight="false" outlineLevel="0" collapsed="false">
      <c r="I213" s="22"/>
    </row>
    <row r="214" customFormat="false" ht="15" hidden="false" customHeight="false" outlineLevel="0" collapsed="false">
      <c r="I214" s="22"/>
    </row>
    <row r="215" customFormat="false" ht="15" hidden="false" customHeight="false" outlineLevel="0" collapsed="false">
      <c r="I215" s="22"/>
    </row>
    <row r="216" customFormat="false" ht="15" hidden="false" customHeight="false" outlineLevel="0" collapsed="false">
      <c r="I216" s="22"/>
    </row>
    <row r="217" customFormat="false" ht="15" hidden="false" customHeight="false" outlineLevel="0" collapsed="false">
      <c r="I217" s="22"/>
    </row>
    <row r="218" customFormat="false" ht="15" hidden="false" customHeight="false" outlineLevel="0" collapsed="false">
      <c r="I218" s="22"/>
    </row>
    <row r="219" customFormat="false" ht="15" hidden="false" customHeight="false" outlineLevel="0" collapsed="false">
      <c r="I219" s="22"/>
    </row>
    <row r="220" customFormat="false" ht="15" hidden="false" customHeight="false" outlineLevel="0" collapsed="false">
      <c r="I220" s="22"/>
    </row>
    <row r="221" customFormat="false" ht="15" hidden="false" customHeight="false" outlineLevel="0" collapsed="false">
      <c r="I221" s="22"/>
    </row>
    <row r="222" customFormat="false" ht="15" hidden="false" customHeight="false" outlineLevel="0" collapsed="false">
      <c r="I222" s="22"/>
    </row>
    <row r="223" customFormat="false" ht="15" hidden="false" customHeight="false" outlineLevel="0" collapsed="false">
      <c r="I223" s="22"/>
    </row>
    <row r="224" customFormat="false" ht="15" hidden="false" customHeight="false" outlineLevel="0" collapsed="false">
      <c r="I224" s="22"/>
    </row>
    <row r="225" customFormat="false" ht="15" hidden="false" customHeight="false" outlineLevel="0" collapsed="false">
      <c r="I225" s="22"/>
    </row>
    <row r="226" customFormat="false" ht="15" hidden="false" customHeight="false" outlineLevel="0" collapsed="false">
      <c r="I226" s="22"/>
    </row>
    <row r="227" customFormat="false" ht="15" hidden="false" customHeight="false" outlineLevel="0" collapsed="false">
      <c r="I227" s="22"/>
    </row>
    <row r="228" customFormat="false" ht="15" hidden="false" customHeight="false" outlineLevel="0" collapsed="false">
      <c r="I228" s="22"/>
    </row>
    <row r="229" customFormat="false" ht="15" hidden="false" customHeight="false" outlineLevel="0" collapsed="false">
      <c r="I229" s="22"/>
    </row>
    <row r="230" customFormat="false" ht="15" hidden="false" customHeight="false" outlineLevel="0" collapsed="false">
      <c r="I230" s="22"/>
    </row>
    <row r="231" customFormat="false" ht="15" hidden="false" customHeight="false" outlineLevel="0" collapsed="false">
      <c r="I231" s="22"/>
    </row>
    <row r="232" customFormat="false" ht="15" hidden="false" customHeight="false" outlineLevel="0" collapsed="false">
      <c r="I232" s="22"/>
    </row>
    <row r="233" customFormat="false" ht="15" hidden="false" customHeight="false" outlineLevel="0" collapsed="false">
      <c r="I233" s="22"/>
    </row>
    <row r="234" customFormat="false" ht="15" hidden="false" customHeight="false" outlineLevel="0" collapsed="false">
      <c r="I234" s="22"/>
    </row>
    <row r="235" customFormat="false" ht="15" hidden="false" customHeight="false" outlineLevel="0" collapsed="false">
      <c r="I235" s="22"/>
    </row>
    <row r="236" customFormat="false" ht="15" hidden="false" customHeight="false" outlineLevel="0" collapsed="false">
      <c r="I236" s="22"/>
    </row>
    <row r="237" customFormat="false" ht="15" hidden="false" customHeight="false" outlineLevel="0" collapsed="false">
      <c r="I237" s="22"/>
    </row>
    <row r="238" customFormat="false" ht="15" hidden="false" customHeight="false" outlineLevel="0" collapsed="false">
      <c r="I238" s="22"/>
    </row>
    <row r="239" customFormat="false" ht="15" hidden="false" customHeight="false" outlineLevel="0" collapsed="false">
      <c r="I239" s="22"/>
    </row>
    <row r="240" customFormat="false" ht="15" hidden="false" customHeight="false" outlineLevel="0" collapsed="false">
      <c r="I240" s="22"/>
    </row>
    <row r="241" customFormat="false" ht="15" hidden="false" customHeight="false" outlineLevel="0" collapsed="false">
      <c r="I241" s="22"/>
    </row>
    <row r="242" customFormat="false" ht="15" hidden="false" customHeight="false" outlineLevel="0" collapsed="false">
      <c r="I242" s="22"/>
    </row>
    <row r="243" customFormat="false" ht="15" hidden="false" customHeight="false" outlineLevel="0" collapsed="false">
      <c r="I243" s="22"/>
    </row>
    <row r="244" customFormat="false" ht="15" hidden="false" customHeight="false" outlineLevel="0" collapsed="false">
      <c r="I244" s="22"/>
    </row>
    <row r="245" customFormat="false" ht="15" hidden="false" customHeight="false" outlineLevel="0" collapsed="false">
      <c r="I245" s="22"/>
    </row>
    <row r="246" customFormat="false" ht="15" hidden="false" customHeight="false" outlineLevel="0" collapsed="false">
      <c r="I246" s="22"/>
    </row>
    <row r="247" customFormat="false" ht="15" hidden="false" customHeight="false" outlineLevel="0" collapsed="false">
      <c r="I247" s="22"/>
    </row>
    <row r="248" customFormat="false" ht="15" hidden="false" customHeight="false" outlineLevel="0" collapsed="false">
      <c r="I248" s="22"/>
    </row>
    <row r="249" customFormat="false" ht="15" hidden="false" customHeight="false" outlineLevel="0" collapsed="false">
      <c r="I249" s="22"/>
    </row>
    <row r="250" customFormat="false" ht="15" hidden="false" customHeight="false" outlineLevel="0" collapsed="false">
      <c r="I250" s="22"/>
    </row>
    <row r="251" customFormat="false" ht="15" hidden="false" customHeight="false" outlineLevel="0" collapsed="false">
      <c r="I251" s="22"/>
    </row>
    <row r="252" customFormat="false" ht="15" hidden="false" customHeight="false" outlineLevel="0" collapsed="false">
      <c r="I252" s="22"/>
    </row>
    <row r="253" customFormat="false" ht="15" hidden="false" customHeight="false" outlineLevel="0" collapsed="false">
      <c r="I253" s="22"/>
    </row>
    <row r="254" customFormat="false" ht="15" hidden="false" customHeight="false" outlineLevel="0" collapsed="false">
      <c r="I254" s="22"/>
    </row>
    <row r="255" customFormat="false" ht="15" hidden="false" customHeight="false" outlineLevel="0" collapsed="false">
      <c r="I255" s="22"/>
    </row>
    <row r="256" customFormat="false" ht="15" hidden="false" customHeight="false" outlineLevel="0" collapsed="false">
      <c r="I256" s="22"/>
    </row>
    <row r="257" customFormat="false" ht="15" hidden="false" customHeight="false" outlineLevel="0" collapsed="false">
      <c r="I257" s="22"/>
    </row>
    <row r="258" customFormat="false" ht="15" hidden="false" customHeight="false" outlineLevel="0" collapsed="false">
      <c r="I258" s="22"/>
    </row>
    <row r="259" customFormat="false" ht="15" hidden="false" customHeight="false" outlineLevel="0" collapsed="false">
      <c r="I259" s="22"/>
    </row>
    <row r="260" customFormat="false" ht="15" hidden="false" customHeight="false" outlineLevel="0" collapsed="false">
      <c r="I260" s="22"/>
    </row>
    <row r="261" customFormat="false" ht="15" hidden="false" customHeight="false" outlineLevel="0" collapsed="false">
      <c r="I261" s="22"/>
    </row>
    <row r="262" customFormat="false" ht="15" hidden="false" customHeight="false" outlineLevel="0" collapsed="false">
      <c r="I262" s="22"/>
    </row>
    <row r="263" customFormat="false" ht="15" hidden="false" customHeight="false" outlineLevel="0" collapsed="false">
      <c r="I263" s="22"/>
    </row>
    <row r="264" customFormat="false" ht="15" hidden="false" customHeight="false" outlineLevel="0" collapsed="false">
      <c r="I264" s="22"/>
    </row>
    <row r="265" customFormat="false" ht="15" hidden="false" customHeight="false" outlineLevel="0" collapsed="false">
      <c r="I265" s="22"/>
    </row>
    <row r="266" customFormat="false" ht="15" hidden="false" customHeight="false" outlineLevel="0" collapsed="false">
      <c r="I266" s="22"/>
    </row>
    <row r="267" customFormat="false" ht="15" hidden="false" customHeight="false" outlineLevel="0" collapsed="false">
      <c r="I267" s="22"/>
    </row>
    <row r="268" customFormat="false" ht="15" hidden="false" customHeight="false" outlineLevel="0" collapsed="false">
      <c r="I268" s="22"/>
    </row>
    <row r="269" customFormat="false" ht="15" hidden="false" customHeight="false" outlineLevel="0" collapsed="false">
      <c r="I269" s="22"/>
    </row>
    <row r="270" customFormat="false" ht="15" hidden="false" customHeight="false" outlineLevel="0" collapsed="false">
      <c r="I270" s="22"/>
    </row>
    <row r="271" customFormat="false" ht="15" hidden="false" customHeight="false" outlineLevel="0" collapsed="false">
      <c r="I271" s="22"/>
    </row>
    <row r="272" customFormat="false" ht="15" hidden="false" customHeight="false" outlineLevel="0" collapsed="false">
      <c r="I272" s="22"/>
    </row>
    <row r="273" customFormat="false" ht="15" hidden="false" customHeight="false" outlineLevel="0" collapsed="false">
      <c r="I273" s="22"/>
    </row>
    <row r="274" customFormat="false" ht="15" hidden="false" customHeight="false" outlineLevel="0" collapsed="false">
      <c r="I274" s="22"/>
    </row>
    <row r="275" customFormat="false" ht="15" hidden="false" customHeight="false" outlineLevel="0" collapsed="false">
      <c r="I275" s="22"/>
    </row>
    <row r="276" customFormat="false" ht="15" hidden="false" customHeight="false" outlineLevel="0" collapsed="false">
      <c r="I276" s="22"/>
    </row>
    <row r="277" customFormat="false" ht="15" hidden="false" customHeight="false" outlineLevel="0" collapsed="false">
      <c r="I277" s="22"/>
    </row>
    <row r="278" customFormat="false" ht="15" hidden="false" customHeight="false" outlineLevel="0" collapsed="false">
      <c r="I278" s="22"/>
    </row>
    <row r="279" customFormat="false" ht="15" hidden="false" customHeight="false" outlineLevel="0" collapsed="false">
      <c r="I279" s="22"/>
    </row>
    <row r="280" customFormat="false" ht="15" hidden="false" customHeight="false" outlineLevel="0" collapsed="false">
      <c r="I280" s="22"/>
    </row>
    <row r="281" customFormat="false" ht="15" hidden="false" customHeight="false" outlineLevel="0" collapsed="false">
      <c r="I281" s="22"/>
    </row>
    <row r="282" customFormat="false" ht="15" hidden="false" customHeight="false" outlineLevel="0" collapsed="false">
      <c r="I282" s="22"/>
    </row>
    <row r="283" customFormat="false" ht="15" hidden="false" customHeight="false" outlineLevel="0" collapsed="false">
      <c r="I283" s="22"/>
    </row>
    <row r="284" customFormat="false" ht="15" hidden="false" customHeight="false" outlineLevel="0" collapsed="false">
      <c r="I284" s="22"/>
    </row>
    <row r="285" customFormat="false" ht="15" hidden="false" customHeight="false" outlineLevel="0" collapsed="false">
      <c r="I285" s="22"/>
    </row>
    <row r="286" customFormat="false" ht="15" hidden="false" customHeight="false" outlineLevel="0" collapsed="false">
      <c r="I286" s="22"/>
    </row>
    <row r="287" customFormat="false" ht="15" hidden="false" customHeight="false" outlineLevel="0" collapsed="false">
      <c r="I287" s="22"/>
    </row>
    <row r="288" customFormat="false" ht="15" hidden="false" customHeight="false" outlineLevel="0" collapsed="false">
      <c r="I288" s="22"/>
    </row>
    <row r="289" customFormat="false" ht="15" hidden="false" customHeight="false" outlineLevel="0" collapsed="false">
      <c r="I289" s="22"/>
    </row>
    <row r="290" customFormat="false" ht="15" hidden="false" customHeight="false" outlineLevel="0" collapsed="false">
      <c r="I290" s="22"/>
    </row>
    <row r="291" customFormat="false" ht="15" hidden="false" customHeight="false" outlineLevel="0" collapsed="false">
      <c r="I291" s="22"/>
    </row>
    <row r="292" customFormat="false" ht="15" hidden="false" customHeight="false" outlineLevel="0" collapsed="false">
      <c r="I292" s="22"/>
    </row>
    <row r="293" customFormat="false" ht="15" hidden="false" customHeight="false" outlineLevel="0" collapsed="false">
      <c r="I293" s="22"/>
    </row>
    <row r="294" customFormat="false" ht="15" hidden="false" customHeight="false" outlineLevel="0" collapsed="false">
      <c r="I294" s="22"/>
    </row>
    <row r="295" customFormat="false" ht="15" hidden="false" customHeight="false" outlineLevel="0" collapsed="false">
      <c r="I295" s="22"/>
    </row>
    <row r="296" customFormat="false" ht="15" hidden="false" customHeight="false" outlineLevel="0" collapsed="false">
      <c r="I296" s="22"/>
    </row>
    <row r="297" customFormat="false" ht="15" hidden="false" customHeight="false" outlineLevel="0" collapsed="false">
      <c r="I297" s="22"/>
    </row>
    <row r="298" customFormat="false" ht="15" hidden="false" customHeight="false" outlineLevel="0" collapsed="false">
      <c r="I298" s="22"/>
    </row>
    <row r="299" customFormat="false" ht="15" hidden="false" customHeight="false" outlineLevel="0" collapsed="false">
      <c r="I299" s="22"/>
    </row>
    <row r="300" customFormat="false" ht="15" hidden="false" customHeight="false" outlineLevel="0" collapsed="false">
      <c r="I300" s="22"/>
    </row>
    <row r="301" customFormat="false" ht="15" hidden="false" customHeight="false" outlineLevel="0" collapsed="false">
      <c r="I301" s="22"/>
    </row>
    <row r="302" customFormat="false" ht="15" hidden="false" customHeight="false" outlineLevel="0" collapsed="false">
      <c r="I302" s="22"/>
    </row>
    <row r="303" customFormat="false" ht="15" hidden="false" customHeight="false" outlineLevel="0" collapsed="false">
      <c r="I303" s="22"/>
    </row>
    <row r="304" customFormat="false" ht="15" hidden="false" customHeight="false" outlineLevel="0" collapsed="false">
      <c r="I304" s="22"/>
    </row>
    <row r="305" customFormat="false" ht="15" hidden="false" customHeight="false" outlineLevel="0" collapsed="false">
      <c r="I305" s="22"/>
    </row>
    <row r="306" customFormat="false" ht="15" hidden="false" customHeight="false" outlineLevel="0" collapsed="false">
      <c r="I306" s="22"/>
    </row>
    <row r="307" customFormat="false" ht="15" hidden="false" customHeight="false" outlineLevel="0" collapsed="false">
      <c r="I307" s="22"/>
    </row>
    <row r="308" customFormat="false" ht="15" hidden="false" customHeight="false" outlineLevel="0" collapsed="false">
      <c r="I308" s="22"/>
    </row>
    <row r="309" customFormat="false" ht="15" hidden="false" customHeight="false" outlineLevel="0" collapsed="false">
      <c r="I309" s="22"/>
    </row>
    <row r="310" customFormat="false" ht="15" hidden="false" customHeight="false" outlineLevel="0" collapsed="false">
      <c r="I310" s="22"/>
    </row>
    <row r="311" customFormat="false" ht="15" hidden="false" customHeight="false" outlineLevel="0" collapsed="false">
      <c r="I311" s="22"/>
    </row>
    <row r="312" customFormat="false" ht="15" hidden="false" customHeight="false" outlineLevel="0" collapsed="false">
      <c r="I312" s="22"/>
    </row>
    <row r="313" customFormat="false" ht="15" hidden="false" customHeight="false" outlineLevel="0" collapsed="false">
      <c r="I313" s="22"/>
    </row>
    <row r="314" customFormat="false" ht="15" hidden="false" customHeight="false" outlineLevel="0" collapsed="false">
      <c r="I314" s="22"/>
    </row>
    <row r="315" customFormat="false" ht="15" hidden="false" customHeight="false" outlineLevel="0" collapsed="false">
      <c r="I315" s="22"/>
    </row>
    <row r="316" customFormat="false" ht="15" hidden="false" customHeight="false" outlineLevel="0" collapsed="false">
      <c r="I316" s="22"/>
    </row>
    <row r="317" customFormat="false" ht="15" hidden="false" customHeight="false" outlineLevel="0" collapsed="false">
      <c r="I317" s="22"/>
    </row>
    <row r="318" customFormat="false" ht="15" hidden="false" customHeight="false" outlineLevel="0" collapsed="false">
      <c r="I318" s="22"/>
    </row>
    <row r="319" customFormat="false" ht="15" hidden="false" customHeight="false" outlineLevel="0" collapsed="false">
      <c r="I319" s="22"/>
    </row>
    <row r="320" customFormat="false" ht="15" hidden="false" customHeight="false" outlineLevel="0" collapsed="false">
      <c r="I320" s="22"/>
    </row>
    <row r="321" customFormat="false" ht="15" hidden="false" customHeight="false" outlineLevel="0" collapsed="false">
      <c r="I321" s="22"/>
    </row>
    <row r="322" customFormat="false" ht="15" hidden="false" customHeight="false" outlineLevel="0" collapsed="false">
      <c r="I322" s="22"/>
    </row>
    <row r="323" customFormat="false" ht="15" hidden="false" customHeight="false" outlineLevel="0" collapsed="false">
      <c r="I323" s="22"/>
    </row>
    <row r="324" customFormat="false" ht="15" hidden="false" customHeight="false" outlineLevel="0" collapsed="false">
      <c r="I324" s="22"/>
    </row>
    <row r="325" customFormat="false" ht="15" hidden="false" customHeight="false" outlineLevel="0" collapsed="false">
      <c r="I325" s="22"/>
    </row>
    <row r="326" customFormat="false" ht="15" hidden="false" customHeight="false" outlineLevel="0" collapsed="false">
      <c r="I326" s="22"/>
    </row>
    <row r="327" customFormat="false" ht="15" hidden="false" customHeight="false" outlineLevel="0" collapsed="false">
      <c r="I327" s="22"/>
    </row>
    <row r="328" customFormat="false" ht="15" hidden="false" customHeight="false" outlineLevel="0" collapsed="false">
      <c r="I328" s="22"/>
    </row>
    <row r="329" customFormat="false" ht="15" hidden="false" customHeight="false" outlineLevel="0" collapsed="false">
      <c r="I329" s="22"/>
    </row>
    <row r="330" customFormat="false" ht="15" hidden="false" customHeight="false" outlineLevel="0" collapsed="false">
      <c r="I330" s="22"/>
    </row>
    <row r="331" customFormat="false" ht="15" hidden="false" customHeight="false" outlineLevel="0" collapsed="false">
      <c r="I331" s="22"/>
    </row>
    <row r="332" customFormat="false" ht="15" hidden="false" customHeight="false" outlineLevel="0" collapsed="false">
      <c r="I332" s="22"/>
    </row>
    <row r="333" customFormat="false" ht="15" hidden="false" customHeight="false" outlineLevel="0" collapsed="false">
      <c r="I333" s="22"/>
    </row>
    <row r="334" customFormat="false" ht="15" hidden="false" customHeight="false" outlineLevel="0" collapsed="false">
      <c r="I334" s="22"/>
    </row>
    <row r="335" customFormat="false" ht="15" hidden="false" customHeight="false" outlineLevel="0" collapsed="false">
      <c r="I335" s="22"/>
    </row>
    <row r="336" customFormat="false" ht="15" hidden="false" customHeight="false" outlineLevel="0" collapsed="false">
      <c r="I336" s="22"/>
    </row>
    <row r="337" customFormat="false" ht="15" hidden="false" customHeight="false" outlineLevel="0" collapsed="false">
      <c r="I337" s="22"/>
    </row>
    <row r="338" customFormat="false" ht="15" hidden="false" customHeight="false" outlineLevel="0" collapsed="false">
      <c r="I338" s="22"/>
    </row>
    <row r="339" customFormat="false" ht="15" hidden="false" customHeight="false" outlineLevel="0" collapsed="false">
      <c r="I339" s="22"/>
    </row>
    <row r="340" customFormat="false" ht="15" hidden="false" customHeight="false" outlineLevel="0" collapsed="false">
      <c r="I340" s="22"/>
    </row>
    <row r="341" customFormat="false" ht="15" hidden="false" customHeight="false" outlineLevel="0" collapsed="false">
      <c r="I341" s="22"/>
    </row>
    <row r="342" customFormat="false" ht="15" hidden="false" customHeight="false" outlineLevel="0" collapsed="false">
      <c r="I342" s="22"/>
    </row>
    <row r="343" customFormat="false" ht="15" hidden="false" customHeight="false" outlineLevel="0" collapsed="false">
      <c r="I343" s="22"/>
    </row>
    <row r="344" customFormat="false" ht="15" hidden="false" customHeight="false" outlineLevel="0" collapsed="false">
      <c r="I344" s="22"/>
    </row>
    <row r="345" customFormat="false" ht="15" hidden="false" customHeight="false" outlineLevel="0" collapsed="false">
      <c r="I345" s="22"/>
    </row>
    <row r="346" customFormat="false" ht="15" hidden="false" customHeight="false" outlineLevel="0" collapsed="false">
      <c r="I346" s="22"/>
    </row>
    <row r="347" customFormat="false" ht="15" hidden="false" customHeight="false" outlineLevel="0" collapsed="false">
      <c r="I347" s="22"/>
    </row>
    <row r="348" customFormat="false" ht="15" hidden="false" customHeight="false" outlineLevel="0" collapsed="false">
      <c r="I348" s="22"/>
    </row>
    <row r="349" customFormat="false" ht="15" hidden="false" customHeight="false" outlineLevel="0" collapsed="false">
      <c r="I349" s="22"/>
    </row>
    <row r="350" customFormat="false" ht="15" hidden="false" customHeight="false" outlineLevel="0" collapsed="false">
      <c r="I350" s="22"/>
    </row>
    <row r="351" customFormat="false" ht="15" hidden="false" customHeight="false" outlineLevel="0" collapsed="false">
      <c r="I351" s="22"/>
    </row>
    <row r="352" customFormat="false" ht="15" hidden="false" customHeight="false" outlineLevel="0" collapsed="false">
      <c r="I352" s="22"/>
    </row>
    <row r="353" customFormat="false" ht="15" hidden="false" customHeight="false" outlineLevel="0" collapsed="false">
      <c r="I353" s="22"/>
    </row>
    <row r="354" customFormat="false" ht="15" hidden="false" customHeight="false" outlineLevel="0" collapsed="false">
      <c r="I354" s="22"/>
    </row>
    <row r="355" customFormat="false" ht="15" hidden="false" customHeight="false" outlineLevel="0" collapsed="false">
      <c r="I355" s="22"/>
    </row>
    <row r="356" customFormat="false" ht="15" hidden="false" customHeight="false" outlineLevel="0" collapsed="false">
      <c r="I356" s="22"/>
    </row>
    <row r="357" customFormat="false" ht="15" hidden="false" customHeight="false" outlineLevel="0" collapsed="false">
      <c r="I357" s="22"/>
    </row>
    <row r="358" customFormat="false" ht="15" hidden="false" customHeight="false" outlineLevel="0" collapsed="false">
      <c r="I358" s="22"/>
    </row>
    <row r="359" customFormat="false" ht="15" hidden="false" customHeight="false" outlineLevel="0" collapsed="false">
      <c r="I359" s="22"/>
    </row>
    <row r="360" customFormat="false" ht="15" hidden="false" customHeight="false" outlineLevel="0" collapsed="false">
      <c r="I360" s="22"/>
    </row>
    <row r="361" customFormat="false" ht="15" hidden="false" customHeight="false" outlineLevel="0" collapsed="false">
      <c r="I361" s="22"/>
    </row>
    <row r="362" customFormat="false" ht="15" hidden="false" customHeight="false" outlineLevel="0" collapsed="false">
      <c r="I362" s="22"/>
    </row>
    <row r="363" customFormat="false" ht="15" hidden="false" customHeight="false" outlineLevel="0" collapsed="false">
      <c r="I363" s="22"/>
    </row>
    <row r="364" customFormat="false" ht="15" hidden="false" customHeight="false" outlineLevel="0" collapsed="false">
      <c r="I364" s="22"/>
    </row>
    <row r="365" customFormat="false" ht="15" hidden="false" customHeight="false" outlineLevel="0" collapsed="false">
      <c r="I365" s="22"/>
    </row>
    <row r="366" customFormat="false" ht="15" hidden="false" customHeight="false" outlineLevel="0" collapsed="false">
      <c r="I366" s="22"/>
    </row>
    <row r="367" customFormat="false" ht="15" hidden="false" customHeight="false" outlineLevel="0" collapsed="false">
      <c r="I367" s="22"/>
    </row>
    <row r="368" customFormat="false" ht="15" hidden="false" customHeight="false" outlineLevel="0" collapsed="false">
      <c r="I368" s="22"/>
    </row>
    <row r="369" customFormat="false" ht="15" hidden="false" customHeight="false" outlineLevel="0" collapsed="false">
      <c r="I369" s="22"/>
    </row>
    <row r="370" customFormat="false" ht="15" hidden="false" customHeight="false" outlineLevel="0" collapsed="false">
      <c r="I370" s="22"/>
    </row>
    <row r="371" customFormat="false" ht="15" hidden="false" customHeight="false" outlineLevel="0" collapsed="false">
      <c r="I371" s="22"/>
    </row>
    <row r="372" customFormat="false" ht="15" hidden="false" customHeight="false" outlineLevel="0" collapsed="false">
      <c r="I372" s="22"/>
    </row>
    <row r="373" customFormat="false" ht="15" hidden="false" customHeight="false" outlineLevel="0" collapsed="false">
      <c r="I373" s="22"/>
    </row>
    <row r="374" customFormat="false" ht="15" hidden="false" customHeight="false" outlineLevel="0" collapsed="false">
      <c r="I374" s="22"/>
    </row>
    <row r="375" customFormat="false" ht="15" hidden="false" customHeight="false" outlineLevel="0" collapsed="false">
      <c r="I375" s="22"/>
    </row>
    <row r="376" customFormat="false" ht="15" hidden="false" customHeight="false" outlineLevel="0" collapsed="false">
      <c r="I376" s="22"/>
    </row>
    <row r="377" customFormat="false" ht="15" hidden="false" customHeight="false" outlineLevel="0" collapsed="false">
      <c r="I377" s="22"/>
    </row>
    <row r="378" customFormat="false" ht="15" hidden="false" customHeight="false" outlineLevel="0" collapsed="false">
      <c r="I378" s="22"/>
    </row>
    <row r="379" customFormat="false" ht="15" hidden="false" customHeight="false" outlineLevel="0" collapsed="false">
      <c r="I379" s="22"/>
    </row>
    <row r="380" customFormat="false" ht="15" hidden="false" customHeight="false" outlineLevel="0" collapsed="false">
      <c r="I380" s="22"/>
    </row>
    <row r="381" customFormat="false" ht="15" hidden="false" customHeight="false" outlineLevel="0" collapsed="false">
      <c r="I381" s="22"/>
    </row>
    <row r="382" customFormat="false" ht="15" hidden="false" customHeight="false" outlineLevel="0" collapsed="false">
      <c r="I382" s="22"/>
    </row>
    <row r="383" customFormat="false" ht="15" hidden="false" customHeight="false" outlineLevel="0" collapsed="false">
      <c r="I383" s="22"/>
    </row>
    <row r="384" customFormat="false" ht="15" hidden="false" customHeight="false" outlineLevel="0" collapsed="false">
      <c r="I384" s="22"/>
    </row>
    <row r="385" customFormat="false" ht="15" hidden="false" customHeight="false" outlineLevel="0" collapsed="false">
      <c r="I385" s="22"/>
    </row>
    <row r="386" customFormat="false" ht="15" hidden="false" customHeight="false" outlineLevel="0" collapsed="false">
      <c r="I386" s="22"/>
    </row>
    <row r="387" customFormat="false" ht="15" hidden="false" customHeight="false" outlineLevel="0" collapsed="false">
      <c r="I387" s="22"/>
    </row>
    <row r="388" customFormat="false" ht="15" hidden="false" customHeight="false" outlineLevel="0" collapsed="false">
      <c r="I388" s="22"/>
    </row>
    <row r="389" customFormat="false" ht="15" hidden="false" customHeight="false" outlineLevel="0" collapsed="false">
      <c r="I389" s="22"/>
    </row>
    <row r="390" customFormat="false" ht="15" hidden="false" customHeight="false" outlineLevel="0" collapsed="false">
      <c r="I390" s="22"/>
    </row>
    <row r="391" customFormat="false" ht="15" hidden="false" customHeight="false" outlineLevel="0" collapsed="false">
      <c r="I391" s="22"/>
    </row>
    <row r="392" customFormat="false" ht="15" hidden="false" customHeight="false" outlineLevel="0" collapsed="false">
      <c r="I392" s="22"/>
    </row>
    <row r="393" customFormat="false" ht="15" hidden="false" customHeight="false" outlineLevel="0" collapsed="false">
      <c r="I393" s="22"/>
    </row>
    <row r="394" customFormat="false" ht="15" hidden="false" customHeight="false" outlineLevel="0" collapsed="false">
      <c r="I394" s="22"/>
    </row>
    <row r="395" customFormat="false" ht="15" hidden="false" customHeight="false" outlineLevel="0" collapsed="false">
      <c r="I395" s="22"/>
    </row>
    <row r="396" customFormat="false" ht="15" hidden="false" customHeight="false" outlineLevel="0" collapsed="false">
      <c r="I396" s="22"/>
    </row>
    <row r="397" customFormat="false" ht="15" hidden="false" customHeight="false" outlineLevel="0" collapsed="false">
      <c r="I397" s="22"/>
    </row>
    <row r="398" customFormat="false" ht="15" hidden="false" customHeight="false" outlineLevel="0" collapsed="false">
      <c r="I398" s="22"/>
    </row>
    <row r="399" customFormat="false" ht="15" hidden="false" customHeight="false" outlineLevel="0" collapsed="false">
      <c r="I399" s="22"/>
    </row>
    <row r="400" customFormat="false" ht="15" hidden="false" customHeight="false" outlineLevel="0" collapsed="false">
      <c r="I400" s="22"/>
    </row>
    <row r="401" customFormat="false" ht="15" hidden="false" customHeight="false" outlineLevel="0" collapsed="false">
      <c r="I401" s="22"/>
    </row>
    <row r="402" customFormat="false" ht="15" hidden="false" customHeight="false" outlineLevel="0" collapsed="false">
      <c r="I402" s="22"/>
    </row>
    <row r="403" customFormat="false" ht="15" hidden="false" customHeight="false" outlineLevel="0" collapsed="false">
      <c r="I403" s="22"/>
    </row>
    <row r="404" customFormat="false" ht="15" hidden="false" customHeight="false" outlineLevel="0" collapsed="false">
      <c r="I404" s="22"/>
    </row>
    <row r="405" customFormat="false" ht="15" hidden="false" customHeight="false" outlineLevel="0" collapsed="false">
      <c r="I405" s="22"/>
    </row>
    <row r="406" customFormat="false" ht="15" hidden="false" customHeight="false" outlineLevel="0" collapsed="false">
      <c r="I406" s="22"/>
    </row>
    <row r="407" customFormat="false" ht="15" hidden="false" customHeight="false" outlineLevel="0" collapsed="false">
      <c r="I407" s="22"/>
    </row>
    <row r="408" customFormat="false" ht="15" hidden="false" customHeight="false" outlineLevel="0" collapsed="false">
      <c r="I408" s="22"/>
    </row>
    <row r="409" customFormat="false" ht="15" hidden="false" customHeight="false" outlineLevel="0" collapsed="false">
      <c r="I409" s="22"/>
    </row>
    <row r="410" customFormat="false" ht="15" hidden="false" customHeight="false" outlineLevel="0" collapsed="false">
      <c r="I410" s="22"/>
    </row>
    <row r="411" customFormat="false" ht="15" hidden="false" customHeight="false" outlineLevel="0" collapsed="false">
      <c r="I411" s="22"/>
    </row>
    <row r="412" customFormat="false" ht="15" hidden="false" customHeight="false" outlineLevel="0" collapsed="false">
      <c r="I412" s="22"/>
    </row>
    <row r="413" customFormat="false" ht="15" hidden="false" customHeight="false" outlineLevel="0" collapsed="false">
      <c r="I413" s="22"/>
    </row>
    <row r="414" customFormat="false" ht="15" hidden="false" customHeight="false" outlineLevel="0" collapsed="false">
      <c r="I414" s="22"/>
    </row>
    <row r="415" customFormat="false" ht="15" hidden="false" customHeight="false" outlineLevel="0" collapsed="false">
      <c r="I415" s="22"/>
    </row>
    <row r="416" customFormat="false" ht="15" hidden="false" customHeight="false" outlineLevel="0" collapsed="false">
      <c r="I416" s="22"/>
    </row>
    <row r="417" customFormat="false" ht="15" hidden="false" customHeight="false" outlineLevel="0" collapsed="false">
      <c r="I417" s="22"/>
    </row>
    <row r="418" customFormat="false" ht="15" hidden="false" customHeight="false" outlineLevel="0" collapsed="false">
      <c r="I418" s="22"/>
    </row>
    <row r="419" customFormat="false" ht="15" hidden="false" customHeight="false" outlineLevel="0" collapsed="false">
      <c r="I419" s="22"/>
    </row>
    <row r="420" customFormat="false" ht="15" hidden="false" customHeight="false" outlineLevel="0" collapsed="false">
      <c r="I420" s="22"/>
    </row>
    <row r="421" customFormat="false" ht="15" hidden="false" customHeight="false" outlineLevel="0" collapsed="false">
      <c r="I421" s="22"/>
    </row>
    <row r="422" customFormat="false" ht="15" hidden="false" customHeight="false" outlineLevel="0" collapsed="false">
      <c r="I422" s="22"/>
    </row>
    <row r="423" customFormat="false" ht="15" hidden="false" customHeight="false" outlineLevel="0" collapsed="false">
      <c r="I423" s="22"/>
    </row>
    <row r="424" customFormat="false" ht="15" hidden="false" customHeight="false" outlineLevel="0" collapsed="false">
      <c r="I424" s="22"/>
    </row>
    <row r="425" customFormat="false" ht="15" hidden="false" customHeight="false" outlineLevel="0" collapsed="false">
      <c r="I425" s="22"/>
    </row>
    <row r="426" customFormat="false" ht="15" hidden="false" customHeight="false" outlineLevel="0" collapsed="false">
      <c r="I426" s="22"/>
    </row>
    <row r="427" customFormat="false" ht="15" hidden="false" customHeight="false" outlineLevel="0" collapsed="false">
      <c r="I427" s="22"/>
    </row>
    <row r="428" customFormat="false" ht="15" hidden="false" customHeight="false" outlineLevel="0" collapsed="false">
      <c r="I428" s="22"/>
    </row>
    <row r="429" customFormat="false" ht="15" hidden="false" customHeight="false" outlineLevel="0" collapsed="false">
      <c r="I429" s="22"/>
    </row>
    <row r="430" customFormat="false" ht="15" hidden="false" customHeight="false" outlineLevel="0" collapsed="false">
      <c r="I430" s="22"/>
    </row>
    <row r="431" customFormat="false" ht="15" hidden="false" customHeight="false" outlineLevel="0" collapsed="false">
      <c r="I431" s="22"/>
    </row>
    <row r="432" customFormat="false" ht="15" hidden="false" customHeight="false" outlineLevel="0" collapsed="false">
      <c r="I432" s="22"/>
    </row>
    <row r="433" customFormat="false" ht="15" hidden="false" customHeight="false" outlineLevel="0" collapsed="false">
      <c r="I433" s="22"/>
    </row>
    <row r="434" customFormat="false" ht="15" hidden="false" customHeight="false" outlineLevel="0" collapsed="false">
      <c r="I434" s="22"/>
    </row>
    <row r="435" customFormat="false" ht="15" hidden="false" customHeight="false" outlineLevel="0" collapsed="false">
      <c r="I435" s="22"/>
    </row>
    <row r="436" customFormat="false" ht="15" hidden="false" customHeight="false" outlineLevel="0" collapsed="false">
      <c r="I436" s="22"/>
    </row>
    <row r="437" customFormat="false" ht="15" hidden="false" customHeight="false" outlineLevel="0" collapsed="false">
      <c r="I437" s="22"/>
    </row>
    <row r="438" customFormat="false" ht="15" hidden="false" customHeight="false" outlineLevel="0" collapsed="false">
      <c r="I438" s="22"/>
    </row>
    <row r="439" customFormat="false" ht="15" hidden="false" customHeight="false" outlineLevel="0" collapsed="false">
      <c r="I439" s="22"/>
    </row>
    <row r="440" customFormat="false" ht="15" hidden="false" customHeight="false" outlineLevel="0" collapsed="false">
      <c r="I440" s="22"/>
    </row>
    <row r="441" customFormat="false" ht="15" hidden="false" customHeight="false" outlineLevel="0" collapsed="false">
      <c r="I441" s="22"/>
    </row>
    <row r="442" customFormat="false" ht="15" hidden="false" customHeight="false" outlineLevel="0" collapsed="false">
      <c r="I442" s="22"/>
    </row>
    <row r="443" customFormat="false" ht="15" hidden="false" customHeight="false" outlineLevel="0" collapsed="false">
      <c r="I443" s="22"/>
    </row>
    <row r="444" customFormat="false" ht="15" hidden="false" customHeight="false" outlineLevel="0" collapsed="false">
      <c r="I444" s="22"/>
    </row>
    <row r="445" customFormat="false" ht="15" hidden="false" customHeight="false" outlineLevel="0" collapsed="false">
      <c r="I445" s="22"/>
    </row>
    <row r="446" customFormat="false" ht="15" hidden="false" customHeight="false" outlineLevel="0" collapsed="false">
      <c r="I446" s="22"/>
    </row>
    <row r="447" customFormat="false" ht="15" hidden="false" customHeight="false" outlineLevel="0" collapsed="false">
      <c r="I447" s="22"/>
    </row>
    <row r="448" customFormat="false" ht="15" hidden="false" customHeight="false" outlineLevel="0" collapsed="false">
      <c r="I448" s="22"/>
    </row>
    <row r="449" customFormat="false" ht="15" hidden="false" customHeight="false" outlineLevel="0" collapsed="false">
      <c r="I449" s="22"/>
    </row>
    <row r="450" customFormat="false" ht="15" hidden="false" customHeight="false" outlineLevel="0" collapsed="false">
      <c r="I450" s="22"/>
    </row>
    <row r="451" customFormat="false" ht="15" hidden="false" customHeight="false" outlineLevel="0" collapsed="false">
      <c r="I451" s="22"/>
    </row>
    <row r="452" customFormat="false" ht="15" hidden="false" customHeight="false" outlineLevel="0" collapsed="false">
      <c r="I452" s="22"/>
    </row>
    <row r="453" customFormat="false" ht="15" hidden="false" customHeight="false" outlineLevel="0" collapsed="false">
      <c r="I453" s="22"/>
    </row>
    <row r="454" customFormat="false" ht="15" hidden="false" customHeight="false" outlineLevel="0" collapsed="false">
      <c r="I454" s="22"/>
    </row>
    <row r="455" customFormat="false" ht="15" hidden="false" customHeight="false" outlineLevel="0" collapsed="false">
      <c r="I455" s="22"/>
    </row>
    <row r="456" customFormat="false" ht="15" hidden="false" customHeight="false" outlineLevel="0" collapsed="false">
      <c r="I456" s="22"/>
    </row>
    <row r="457" customFormat="false" ht="15" hidden="false" customHeight="false" outlineLevel="0" collapsed="false">
      <c r="I457" s="22"/>
    </row>
    <row r="458" customFormat="false" ht="15" hidden="false" customHeight="false" outlineLevel="0" collapsed="false">
      <c r="I458" s="22"/>
    </row>
    <row r="459" customFormat="false" ht="15" hidden="false" customHeight="false" outlineLevel="0" collapsed="false">
      <c r="I459" s="22"/>
    </row>
    <row r="460" customFormat="false" ht="15" hidden="false" customHeight="false" outlineLevel="0" collapsed="false">
      <c r="I460" s="22"/>
    </row>
    <row r="461" customFormat="false" ht="15" hidden="false" customHeight="false" outlineLevel="0" collapsed="false">
      <c r="I461" s="22"/>
    </row>
    <row r="462" customFormat="false" ht="15" hidden="false" customHeight="false" outlineLevel="0" collapsed="false">
      <c r="I462" s="22"/>
    </row>
    <row r="463" customFormat="false" ht="15" hidden="false" customHeight="false" outlineLevel="0" collapsed="false">
      <c r="I463" s="22"/>
    </row>
    <row r="464" customFormat="false" ht="15" hidden="false" customHeight="false" outlineLevel="0" collapsed="false">
      <c r="I464" s="22"/>
    </row>
    <row r="465" customFormat="false" ht="15" hidden="false" customHeight="false" outlineLevel="0" collapsed="false">
      <c r="I465" s="22"/>
    </row>
    <row r="466" customFormat="false" ht="15" hidden="false" customHeight="false" outlineLevel="0" collapsed="false">
      <c r="I466" s="22"/>
    </row>
    <row r="467" customFormat="false" ht="15" hidden="false" customHeight="false" outlineLevel="0" collapsed="false">
      <c r="I467" s="22"/>
    </row>
    <row r="468" customFormat="false" ht="15" hidden="false" customHeight="false" outlineLevel="0" collapsed="false">
      <c r="I468" s="22"/>
    </row>
    <row r="469" customFormat="false" ht="15" hidden="false" customHeight="false" outlineLevel="0" collapsed="false">
      <c r="I469" s="22"/>
    </row>
    <row r="470" customFormat="false" ht="15" hidden="false" customHeight="false" outlineLevel="0" collapsed="false">
      <c r="I470" s="22"/>
    </row>
    <row r="471" customFormat="false" ht="15" hidden="false" customHeight="false" outlineLevel="0" collapsed="false">
      <c r="I471" s="22"/>
    </row>
    <row r="472" customFormat="false" ht="15" hidden="false" customHeight="false" outlineLevel="0" collapsed="false">
      <c r="I472" s="22"/>
    </row>
    <row r="473" customFormat="false" ht="15" hidden="false" customHeight="false" outlineLevel="0" collapsed="false">
      <c r="I473" s="22"/>
    </row>
    <row r="474" customFormat="false" ht="15" hidden="false" customHeight="false" outlineLevel="0" collapsed="false">
      <c r="I474" s="22"/>
    </row>
    <row r="475" customFormat="false" ht="15" hidden="false" customHeight="false" outlineLevel="0" collapsed="false">
      <c r="I475" s="22"/>
    </row>
    <row r="476" customFormat="false" ht="15" hidden="false" customHeight="false" outlineLevel="0" collapsed="false">
      <c r="I476" s="22"/>
    </row>
    <row r="477" customFormat="false" ht="15" hidden="false" customHeight="false" outlineLevel="0" collapsed="false">
      <c r="I477" s="22"/>
    </row>
    <row r="478" customFormat="false" ht="15" hidden="false" customHeight="false" outlineLevel="0" collapsed="false">
      <c r="I478" s="22"/>
    </row>
    <row r="479" customFormat="false" ht="15" hidden="false" customHeight="false" outlineLevel="0" collapsed="false">
      <c r="I479" s="22"/>
    </row>
    <row r="480" customFormat="false" ht="15" hidden="false" customHeight="false" outlineLevel="0" collapsed="false">
      <c r="I480" s="22"/>
    </row>
    <row r="481" customFormat="false" ht="15" hidden="false" customHeight="false" outlineLevel="0" collapsed="false">
      <c r="I481" s="22"/>
    </row>
    <row r="482" customFormat="false" ht="15" hidden="false" customHeight="false" outlineLevel="0" collapsed="false">
      <c r="I482" s="22"/>
    </row>
    <row r="483" customFormat="false" ht="15" hidden="false" customHeight="false" outlineLevel="0" collapsed="false">
      <c r="I483" s="22"/>
    </row>
    <row r="484" customFormat="false" ht="15" hidden="false" customHeight="false" outlineLevel="0" collapsed="false">
      <c r="I484" s="22"/>
    </row>
    <row r="485" customFormat="false" ht="15" hidden="false" customHeight="false" outlineLevel="0" collapsed="false">
      <c r="I485" s="22"/>
    </row>
    <row r="486" customFormat="false" ht="15" hidden="false" customHeight="false" outlineLevel="0" collapsed="false">
      <c r="I486" s="22"/>
    </row>
    <row r="487" customFormat="false" ht="15" hidden="false" customHeight="false" outlineLevel="0" collapsed="false">
      <c r="I487" s="22"/>
    </row>
    <row r="488" customFormat="false" ht="15" hidden="false" customHeight="false" outlineLevel="0" collapsed="false">
      <c r="I488" s="22"/>
    </row>
    <row r="489" customFormat="false" ht="15" hidden="false" customHeight="false" outlineLevel="0" collapsed="false">
      <c r="I489" s="22"/>
    </row>
    <row r="490" customFormat="false" ht="15" hidden="false" customHeight="false" outlineLevel="0" collapsed="false">
      <c r="I490" s="22"/>
    </row>
    <row r="491" customFormat="false" ht="15" hidden="false" customHeight="false" outlineLevel="0" collapsed="false">
      <c r="I491" s="22"/>
    </row>
    <row r="492" customFormat="false" ht="15" hidden="false" customHeight="false" outlineLevel="0" collapsed="false">
      <c r="I492" s="22"/>
    </row>
    <row r="493" customFormat="false" ht="15" hidden="false" customHeight="false" outlineLevel="0" collapsed="false">
      <c r="I493" s="22"/>
    </row>
    <row r="494" customFormat="false" ht="15" hidden="false" customHeight="false" outlineLevel="0" collapsed="false">
      <c r="I494" s="22"/>
    </row>
    <row r="495" customFormat="false" ht="15" hidden="false" customHeight="false" outlineLevel="0" collapsed="false">
      <c r="I495" s="22"/>
    </row>
    <row r="496" customFormat="false" ht="15" hidden="false" customHeight="false" outlineLevel="0" collapsed="false">
      <c r="I496" s="22"/>
    </row>
    <row r="497" customFormat="false" ht="15" hidden="false" customHeight="false" outlineLevel="0" collapsed="false">
      <c r="I497" s="22"/>
    </row>
    <row r="498" customFormat="false" ht="15" hidden="false" customHeight="false" outlineLevel="0" collapsed="false">
      <c r="I498" s="22"/>
    </row>
    <row r="499" customFormat="false" ht="15" hidden="false" customHeight="false" outlineLevel="0" collapsed="false">
      <c r="I499" s="22"/>
    </row>
    <row r="500" customFormat="false" ht="15" hidden="false" customHeight="false" outlineLevel="0" collapsed="false">
      <c r="I500" s="22"/>
    </row>
    <row r="501" customFormat="false" ht="15" hidden="false" customHeight="false" outlineLevel="0" collapsed="false">
      <c r="I501" s="22"/>
    </row>
    <row r="502" customFormat="false" ht="15" hidden="false" customHeight="false" outlineLevel="0" collapsed="false">
      <c r="I502" s="22"/>
    </row>
    <row r="503" customFormat="false" ht="15" hidden="false" customHeight="false" outlineLevel="0" collapsed="false">
      <c r="I503" s="22"/>
    </row>
    <row r="504" customFormat="false" ht="15" hidden="false" customHeight="false" outlineLevel="0" collapsed="false">
      <c r="I504" s="22"/>
    </row>
    <row r="505" customFormat="false" ht="15" hidden="false" customHeight="false" outlineLevel="0" collapsed="false">
      <c r="I505" s="22"/>
    </row>
    <row r="506" customFormat="false" ht="15" hidden="false" customHeight="false" outlineLevel="0" collapsed="false">
      <c r="I506" s="22"/>
    </row>
    <row r="507" customFormat="false" ht="15" hidden="false" customHeight="false" outlineLevel="0" collapsed="false">
      <c r="I507" s="22"/>
    </row>
    <row r="508" customFormat="false" ht="15" hidden="false" customHeight="false" outlineLevel="0" collapsed="false">
      <c r="I508" s="22"/>
    </row>
    <row r="509" customFormat="false" ht="15" hidden="false" customHeight="false" outlineLevel="0" collapsed="false">
      <c r="I509" s="22"/>
    </row>
    <row r="510" customFormat="false" ht="15" hidden="false" customHeight="false" outlineLevel="0" collapsed="false">
      <c r="I510" s="22"/>
    </row>
    <row r="511" customFormat="false" ht="15" hidden="false" customHeight="false" outlineLevel="0" collapsed="false">
      <c r="I511" s="22"/>
    </row>
    <row r="512" customFormat="false" ht="15" hidden="false" customHeight="false" outlineLevel="0" collapsed="false">
      <c r="I512" s="22"/>
    </row>
    <row r="513" customFormat="false" ht="15" hidden="false" customHeight="false" outlineLevel="0" collapsed="false">
      <c r="I513" s="22"/>
    </row>
    <row r="514" customFormat="false" ht="15" hidden="false" customHeight="false" outlineLevel="0" collapsed="false">
      <c r="I514" s="22"/>
    </row>
    <row r="515" customFormat="false" ht="15" hidden="false" customHeight="false" outlineLevel="0" collapsed="false">
      <c r="I515" s="22"/>
    </row>
    <row r="516" customFormat="false" ht="15" hidden="false" customHeight="false" outlineLevel="0" collapsed="false">
      <c r="I516" s="22"/>
    </row>
    <row r="517" customFormat="false" ht="15" hidden="false" customHeight="false" outlineLevel="0" collapsed="false">
      <c r="I517" s="22"/>
    </row>
    <row r="518" customFormat="false" ht="15" hidden="false" customHeight="false" outlineLevel="0" collapsed="false">
      <c r="I518" s="22"/>
    </row>
    <row r="519" customFormat="false" ht="15" hidden="false" customHeight="false" outlineLevel="0" collapsed="false">
      <c r="I519" s="22"/>
    </row>
    <row r="520" customFormat="false" ht="15" hidden="false" customHeight="false" outlineLevel="0" collapsed="false">
      <c r="I520" s="22"/>
    </row>
    <row r="521" customFormat="false" ht="15" hidden="false" customHeight="false" outlineLevel="0" collapsed="false">
      <c r="I521" s="22"/>
    </row>
    <row r="522" customFormat="false" ht="15" hidden="false" customHeight="false" outlineLevel="0" collapsed="false">
      <c r="I522" s="22"/>
    </row>
    <row r="523" customFormat="false" ht="15" hidden="false" customHeight="false" outlineLevel="0" collapsed="false">
      <c r="I523" s="22"/>
    </row>
    <row r="524" customFormat="false" ht="15" hidden="false" customHeight="false" outlineLevel="0" collapsed="false">
      <c r="I524" s="22"/>
    </row>
    <row r="525" customFormat="false" ht="15" hidden="false" customHeight="false" outlineLevel="0" collapsed="false">
      <c r="I525" s="22"/>
    </row>
    <row r="526" customFormat="false" ht="15" hidden="false" customHeight="false" outlineLevel="0" collapsed="false">
      <c r="I526" s="22"/>
    </row>
    <row r="527" customFormat="false" ht="15" hidden="false" customHeight="false" outlineLevel="0" collapsed="false">
      <c r="I527" s="22"/>
    </row>
    <row r="528" customFormat="false" ht="15" hidden="false" customHeight="false" outlineLevel="0" collapsed="false">
      <c r="I528" s="22"/>
    </row>
    <row r="529" customFormat="false" ht="15" hidden="false" customHeight="false" outlineLevel="0" collapsed="false">
      <c r="I529" s="22"/>
    </row>
    <row r="530" customFormat="false" ht="15" hidden="false" customHeight="false" outlineLevel="0" collapsed="false">
      <c r="I530" s="22"/>
    </row>
    <row r="531" customFormat="false" ht="15" hidden="false" customHeight="false" outlineLevel="0" collapsed="false">
      <c r="I531" s="22"/>
    </row>
    <row r="532" customFormat="false" ht="15" hidden="false" customHeight="false" outlineLevel="0" collapsed="false">
      <c r="I532" s="22"/>
    </row>
    <row r="533" customFormat="false" ht="15" hidden="false" customHeight="false" outlineLevel="0" collapsed="false">
      <c r="I533" s="22"/>
    </row>
    <row r="534" customFormat="false" ht="15" hidden="false" customHeight="false" outlineLevel="0" collapsed="false">
      <c r="I534" s="22"/>
    </row>
    <row r="535" customFormat="false" ht="15" hidden="false" customHeight="false" outlineLevel="0" collapsed="false">
      <c r="I535" s="22"/>
    </row>
    <row r="536" customFormat="false" ht="15" hidden="false" customHeight="false" outlineLevel="0" collapsed="false">
      <c r="I536" s="22"/>
    </row>
    <row r="537" customFormat="false" ht="15" hidden="false" customHeight="false" outlineLevel="0" collapsed="false">
      <c r="I537" s="22"/>
    </row>
    <row r="538" customFormat="false" ht="15" hidden="false" customHeight="false" outlineLevel="0" collapsed="false">
      <c r="I538" s="22"/>
    </row>
    <row r="539" customFormat="false" ht="15" hidden="false" customHeight="false" outlineLevel="0" collapsed="false">
      <c r="I539" s="22"/>
    </row>
    <row r="540" customFormat="false" ht="15" hidden="false" customHeight="false" outlineLevel="0" collapsed="false">
      <c r="I540" s="22"/>
    </row>
    <row r="541" customFormat="false" ht="15" hidden="false" customHeight="false" outlineLevel="0" collapsed="false">
      <c r="I541" s="22"/>
    </row>
    <row r="542" customFormat="false" ht="15" hidden="false" customHeight="false" outlineLevel="0" collapsed="false">
      <c r="I542" s="22"/>
    </row>
    <row r="543" customFormat="false" ht="15" hidden="false" customHeight="false" outlineLevel="0" collapsed="false">
      <c r="I543" s="22"/>
    </row>
    <row r="544" customFormat="false" ht="15" hidden="false" customHeight="false" outlineLevel="0" collapsed="false">
      <c r="I544" s="22"/>
    </row>
    <row r="545" customFormat="false" ht="15" hidden="false" customHeight="false" outlineLevel="0" collapsed="false">
      <c r="I545" s="22"/>
    </row>
    <row r="546" customFormat="false" ht="15" hidden="false" customHeight="false" outlineLevel="0" collapsed="false">
      <c r="I546" s="22"/>
    </row>
    <row r="547" customFormat="false" ht="15" hidden="false" customHeight="false" outlineLevel="0" collapsed="false">
      <c r="I547" s="22"/>
    </row>
    <row r="548" customFormat="false" ht="15" hidden="false" customHeight="false" outlineLevel="0" collapsed="false">
      <c r="I548" s="22"/>
    </row>
    <row r="549" customFormat="false" ht="15" hidden="false" customHeight="false" outlineLevel="0" collapsed="false">
      <c r="I549" s="22"/>
    </row>
    <row r="550" customFormat="false" ht="15" hidden="false" customHeight="false" outlineLevel="0" collapsed="false">
      <c r="I550" s="22"/>
    </row>
    <row r="551" customFormat="false" ht="15" hidden="false" customHeight="false" outlineLevel="0" collapsed="false">
      <c r="I551" s="22"/>
    </row>
    <row r="552" customFormat="false" ht="15" hidden="false" customHeight="false" outlineLevel="0" collapsed="false">
      <c r="I552" s="22"/>
    </row>
    <row r="553" customFormat="false" ht="15" hidden="false" customHeight="false" outlineLevel="0" collapsed="false">
      <c r="I553" s="22"/>
    </row>
    <row r="554" customFormat="false" ht="15" hidden="false" customHeight="false" outlineLevel="0" collapsed="false">
      <c r="I554" s="22"/>
    </row>
    <row r="555" customFormat="false" ht="15" hidden="false" customHeight="false" outlineLevel="0" collapsed="false">
      <c r="I555" s="22"/>
    </row>
    <row r="556" customFormat="false" ht="15" hidden="false" customHeight="false" outlineLevel="0" collapsed="false">
      <c r="I556" s="22"/>
    </row>
    <row r="557" customFormat="false" ht="15" hidden="false" customHeight="false" outlineLevel="0" collapsed="false">
      <c r="I557" s="22"/>
    </row>
    <row r="558" customFormat="false" ht="15" hidden="false" customHeight="false" outlineLevel="0" collapsed="false">
      <c r="I558" s="22"/>
    </row>
    <row r="559" customFormat="false" ht="15" hidden="false" customHeight="false" outlineLevel="0" collapsed="false">
      <c r="I559" s="22"/>
    </row>
    <row r="560" customFormat="false" ht="15" hidden="false" customHeight="false" outlineLevel="0" collapsed="false">
      <c r="I560" s="22"/>
    </row>
    <row r="561" customFormat="false" ht="15" hidden="false" customHeight="false" outlineLevel="0" collapsed="false">
      <c r="I561" s="22"/>
    </row>
    <row r="562" customFormat="false" ht="15" hidden="false" customHeight="false" outlineLevel="0" collapsed="false">
      <c r="I562" s="22"/>
    </row>
    <row r="563" customFormat="false" ht="15" hidden="false" customHeight="false" outlineLevel="0" collapsed="false">
      <c r="I563" s="22"/>
    </row>
    <row r="564" customFormat="false" ht="15" hidden="false" customHeight="false" outlineLevel="0" collapsed="false">
      <c r="I564" s="22"/>
    </row>
    <row r="565" customFormat="false" ht="15" hidden="false" customHeight="false" outlineLevel="0" collapsed="false">
      <c r="I565" s="22"/>
    </row>
    <row r="566" customFormat="false" ht="15" hidden="false" customHeight="false" outlineLevel="0" collapsed="false">
      <c r="I566" s="22"/>
    </row>
    <row r="567" customFormat="false" ht="15" hidden="false" customHeight="false" outlineLevel="0" collapsed="false">
      <c r="I567" s="22"/>
    </row>
    <row r="568" customFormat="false" ht="15" hidden="false" customHeight="false" outlineLevel="0" collapsed="false">
      <c r="I568" s="22"/>
    </row>
    <row r="569" customFormat="false" ht="15" hidden="false" customHeight="false" outlineLevel="0" collapsed="false">
      <c r="I569" s="22"/>
    </row>
    <row r="570" customFormat="false" ht="15" hidden="false" customHeight="false" outlineLevel="0" collapsed="false">
      <c r="I570" s="22"/>
    </row>
    <row r="571" customFormat="false" ht="15" hidden="false" customHeight="false" outlineLevel="0" collapsed="false">
      <c r="I571" s="22"/>
    </row>
    <row r="572" customFormat="false" ht="15" hidden="false" customHeight="false" outlineLevel="0" collapsed="false">
      <c r="I572" s="22"/>
    </row>
    <row r="573" customFormat="false" ht="15" hidden="false" customHeight="false" outlineLevel="0" collapsed="false">
      <c r="I573" s="22"/>
    </row>
    <row r="574" customFormat="false" ht="15" hidden="false" customHeight="false" outlineLevel="0" collapsed="false">
      <c r="I574" s="22"/>
    </row>
    <row r="575" customFormat="false" ht="15" hidden="false" customHeight="false" outlineLevel="0" collapsed="false">
      <c r="I575" s="22"/>
    </row>
    <row r="576" customFormat="false" ht="15" hidden="false" customHeight="false" outlineLevel="0" collapsed="false">
      <c r="I576" s="22"/>
    </row>
    <row r="577" customFormat="false" ht="15" hidden="false" customHeight="false" outlineLevel="0" collapsed="false">
      <c r="I577" s="22"/>
    </row>
    <row r="578" customFormat="false" ht="15" hidden="false" customHeight="false" outlineLevel="0" collapsed="false">
      <c r="I578" s="22"/>
    </row>
    <row r="579" customFormat="false" ht="15" hidden="false" customHeight="false" outlineLevel="0" collapsed="false">
      <c r="I579" s="22"/>
    </row>
    <row r="580" customFormat="false" ht="15" hidden="false" customHeight="false" outlineLevel="0" collapsed="false">
      <c r="I580" s="22"/>
    </row>
    <row r="581" customFormat="false" ht="15" hidden="false" customHeight="false" outlineLevel="0" collapsed="false">
      <c r="I581" s="22"/>
    </row>
    <row r="582" customFormat="false" ht="15" hidden="false" customHeight="false" outlineLevel="0" collapsed="false">
      <c r="I582" s="22"/>
    </row>
    <row r="583" customFormat="false" ht="15" hidden="false" customHeight="false" outlineLevel="0" collapsed="false">
      <c r="I583" s="22"/>
    </row>
    <row r="584" customFormat="false" ht="15" hidden="false" customHeight="false" outlineLevel="0" collapsed="false">
      <c r="I584" s="22"/>
    </row>
    <row r="585" customFormat="false" ht="15" hidden="false" customHeight="false" outlineLevel="0" collapsed="false">
      <c r="I585" s="22"/>
    </row>
    <row r="586" customFormat="false" ht="15" hidden="false" customHeight="false" outlineLevel="0" collapsed="false">
      <c r="I586" s="22"/>
    </row>
    <row r="587" customFormat="false" ht="15" hidden="false" customHeight="false" outlineLevel="0" collapsed="false">
      <c r="I587" s="22"/>
    </row>
    <row r="588" customFormat="false" ht="15" hidden="false" customHeight="false" outlineLevel="0" collapsed="false">
      <c r="I588" s="22"/>
    </row>
    <row r="589" customFormat="false" ht="15" hidden="false" customHeight="false" outlineLevel="0" collapsed="false">
      <c r="I589" s="22"/>
    </row>
    <row r="590" customFormat="false" ht="15" hidden="false" customHeight="false" outlineLevel="0" collapsed="false">
      <c r="I590" s="22"/>
    </row>
    <row r="591" customFormat="false" ht="15" hidden="false" customHeight="false" outlineLevel="0" collapsed="false">
      <c r="I591" s="22"/>
    </row>
    <row r="592" customFormat="false" ht="15" hidden="false" customHeight="false" outlineLevel="0" collapsed="false">
      <c r="I592" s="22"/>
    </row>
    <row r="593" customFormat="false" ht="15" hidden="false" customHeight="false" outlineLevel="0" collapsed="false">
      <c r="I593" s="22"/>
    </row>
    <row r="594" customFormat="false" ht="15" hidden="false" customHeight="false" outlineLevel="0" collapsed="false">
      <c r="I594" s="22"/>
    </row>
    <row r="595" customFormat="false" ht="15" hidden="false" customHeight="false" outlineLevel="0" collapsed="false">
      <c r="I595" s="22"/>
    </row>
    <row r="596" customFormat="false" ht="15" hidden="false" customHeight="false" outlineLevel="0" collapsed="false">
      <c r="I596" s="22"/>
    </row>
    <row r="597" customFormat="false" ht="15" hidden="false" customHeight="false" outlineLevel="0" collapsed="false">
      <c r="I597" s="22"/>
    </row>
    <row r="598" customFormat="false" ht="15" hidden="false" customHeight="false" outlineLevel="0" collapsed="false">
      <c r="I598" s="22"/>
    </row>
    <row r="599" customFormat="false" ht="15" hidden="false" customHeight="false" outlineLevel="0" collapsed="false">
      <c r="I599" s="22"/>
    </row>
    <row r="600" customFormat="false" ht="15" hidden="false" customHeight="false" outlineLevel="0" collapsed="false">
      <c r="I600" s="22"/>
    </row>
    <row r="601" customFormat="false" ht="15" hidden="false" customHeight="false" outlineLevel="0" collapsed="false">
      <c r="I601" s="22"/>
    </row>
    <row r="602" customFormat="false" ht="15" hidden="false" customHeight="false" outlineLevel="0" collapsed="false">
      <c r="I602" s="22"/>
    </row>
    <row r="603" customFormat="false" ht="15" hidden="false" customHeight="false" outlineLevel="0" collapsed="false">
      <c r="I603" s="22"/>
    </row>
    <row r="604" customFormat="false" ht="15" hidden="false" customHeight="false" outlineLevel="0" collapsed="false">
      <c r="I604" s="22"/>
    </row>
    <row r="605" customFormat="false" ht="15" hidden="false" customHeight="false" outlineLevel="0" collapsed="false">
      <c r="I605" s="22"/>
    </row>
    <row r="606" customFormat="false" ht="15" hidden="false" customHeight="false" outlineLevel="0" collapsed="false">
      <c r="I606" s="22"/>
    </row>
    <row r="607" customFormat="false" ht="15" hidden="false" customHeight="false" outlineLevel="0" collapsed="false">
      <c r="I607" s="22"/>
    </row>
    <row r="608" customFormat="false" ht="15" hidden="false" customHeight="false" outlineLevel="0" collapsed="false">
      <c r="I608" s="22"/>
    </row>
    <row r="609" customFormat="false" ht="15" hidden="false" customHeight="false" outlineLevel="0" collapsed="false">
      <c r="I609" s="22"/>
    </row>
    <row r="610" customFormat="false" ht="15" hidden="false" customHeight="false" outlineLevel="0" collapsed="false">
      <c r="I610" s="22"/>
    </row>
    <row r="611" customFormat="false" ht="15" hidden="false" customHeight="false" outlineLevel="0" collapsed="false">
      <c r="I611" s="22"/>
    </row>
    <row r="612" customFormat="false" ht="15" hidden="false" customHeight="false" outlineLevel="0" collapsed="false">
      <c r="I612" s="22"/>
    </row>
    <row r="613" customFormat="false" ht="15" hidden="false" customHeight="false" outlineLevel="0" collapsed="false">
      <c r="I613" s="22"/>
    </row>
    <row r="614" customFormat="false" ht="15" hidden="false" customHeight="false" outlineLevel="0" collapsed="false">
      <c r="I614" s="22"/>
    </row>
    <row r="615" customFormat="false" ht="15" hidden="false" customHeight="false" outlineLevel="0" collapsed="false">
      <c r="I615" s="22"/>
    </row>
    <row r="616" customFormat="false" ht="15" hidden="false" customHeight="false" outlineLevel="0" collapsed="false">
      <c r="I616" s="22"/>
    </row>
    <row r="617" customFormat="false" ht="15" hidden="false" customHeight="false" outlineLevel="0" collapsed="false">
      <c r="I617" s="22"/>
    </row>
    <row r="618" customFormat="false" ht="15" hidden="false" customHeight="false" outlineLevel="0" collapsed="false">
      <c r="I618" s="22"/>
    </row>
    <row r="619" customFormat="false" ht="15" hidden="false" customHeight="false" outlineLevel="0" collapsed="false">
      <c r="I619" s="22"/>
    </row>
    <row r="620" customFormat="false" ht="15" hidden="false" customHeight="false" outlineLevel="0" collapsed="false">
      <c r="I620" s="22"/>
    </row>
    <row r="621" customFormat="false" ht="15" hidden="false" customHeight="false" outlineLevel="0" collapsed="false">
      <c r="I621" s="22"/>
    </row>
    <row r="622" customFormat="false" ht="15" hidden="false" customHeight="false" outlineLevel="0" collapsed="false">
      <c r="I622" s="22"/>
    </row>
    <row r="623" customFormat="false" ht="15" hidden="false" customHeight="false" outlineLevel="0" collapsed="false">
      <c r="I623" s="22"/>
    </row>
    <row r="624" customFormat="false" ht="15" hidden="false" customHeight="false" outlineLevel="0" collapsed="false">
      <c r="I624" s="22"/>
    </row>
    <row r="625" customFormat="false" ht="15" hidden="false" customHeight="false" outlineLevel="0" collapsed="false">
      <c r="I625" s="22"/>
    </row>
    <row r="626" customFormat="false" ht="15" hidden="false" customHeight="false" outlineLevel="0" collapsed="false">
      <c r="I626" s="22"/>
    </row>
    <row r="627" customFormat="false" ht="15" hidden="false" customHeight="false" outlineLevel="0" collapsed="false">
      <c r="I627" s="22"/>
    </row>
    <row r="628" customFormat="false" ht="15" hidden="false" customHeight="false" outlineLevel="0" collapsed="false">
      <c r="I628" s="22"/>
    </row>
    <row r="629" customFormat="false" ht="15" hidden="false" customHeight="false" outlineLevel="0" collapsed="false">
      <c r="I629" s="22"/>
    </row>
    <row r="630" customFormat="false" ht="15" hidden="false" customHeight="false" outlineLevel="0" collapsed="false">
      <c r="I630" s="22"/>
    </row>
    <row r="631" customFormat="false" ht="15" hidden="false" customHeight="false" outlineLevel="0" collapsed="false">
      <c r="I631" s="22"/>
    </row>
    <row r="632" customFormat="false" ht="15" hidden="false" customHeight="false" outlineLevel="0" collapsed="false">
      <c r="I632" s="22"/>
    </row>
    <row r="633" customFormat="false" ht="15" hidden="false" customHeight="false" outlineLevel="0" collapsed="false">
      <c r="I633" s="22"/>
    </row>
    <row r="634" customFormat="false" ht="15" hidden="false" customHeight="false" outlineLevel="0" collapsed="false">
      <c r="I634" s="22"/>
    </row>
    <row r="635" customFormat="false" ht="15" hidden="false" customHeight="false" outlineLevel="0" collapsed="false">
      <c r="I635" s="22"/>
    </row>
    <row r="636" customFormat="false" ht="15" hidden="false" customHeight="false" outlineLevel="0" collapsed="false">
      <c r="I636" s="22"/>
    </row>
    <row r="637" customFormat="false" ht="15" hidden="false" customHeight="false" outlineLevel="0" collapsed="false">
      <c r="I637" s="22"/>
    </row>
    <row r="638" customFormat="false" ht="15" hidden="false" customHeight="false" outlineLevel="0" collapsed="false">
      <c r="I638" s="22"/>
    </row>
    <row r="639" customFormat="false" ht="15" hidden="false" customHeight="false" outlineLevel="0" collapsed="false">
      <c r="I639" s="22"/>
    </row>
    <row r="640" customFormat="false" ht="15" hidden="false" customHeight="false" outlineLevel="0" collapsed="false">
      <c r="I640" s="22"/>
    </row>
    <row r="641" customFormat="false" ht="15" hidden="false" customHeight="false" outlineLevel="0" collapsed="false">
      <c r="I641" s="22"/>
    </row>
    <row r="642" customFormat="false" ht="15" hidden="false" customHeight="false" outlineLevel="0" collapsed="false">
      <c r="I642" s="22"/>
    </row>
    <row r="643" customFormat="false" ht="15" hidden="false" customHeight="false" outlineLevel="0" collapsed="false">
      <c r="I643" s="22"/>
    </row>
    <row r="644" customFormat="false" ht="15" hidden="false" customHeight="false" outlineLevel="0" collapsed="false">
      <c r="I644" s="22"/>
    </row>
    <row r="645" customFormat="false" ht="15" hidden="false" customHeight="false" outlineLevel="0" collapsed="false">
      <c r="I645" s="22"/>
    </row>
    <row r="646" customFormat="false" ht="15" hidden="false" customHeight="false" outlineLevel="0" collapsed="false">
      <c r="I646" s="22"/>
    </row>
    <row r="647" customFormat="false" ht="15" hidden="false" customHeight="false" outlineLevel="0" collapsed="false">
      <c r="I647" s="22"/>
    </row>
    <row r="648" customFormat="false" ht="15" hidden="false" customHeight="false" outlineLevel="0" collapsed="false">
      <c r="I648" s="22"/>
    </row>
    <row r="649" customFormat="false" ht="15" hidden="false" customHeight="false" outlineLevel="0" collapsed="false">
      <c r="I649" s="22"/>
    </row>
    <row r="650" customFormat="false" ht="15" hidden="false" customHeight="false" outlineLevel="0" collapsed="false">
      <c r="I650" s="22"/>
    </row>
    <row r="651" customFormat="false" ht="15" hidden="false" customHeight="false" outlineLevel="0" collapsed="false">
      <c r="I651" s="22"/>
    </row>
    <row r="652" customFormat="false" ht="15" hidden="false" customHeight="false" outlineLevel="0" collapsed="false">
      <c r="I652" s="22"/>
    </row>
    <row r="653" customFormat="false" ht="15" hidden="false" customHeight="false" outlineLevel="0" collapsed="false">
      <c r="I653" s="22"/>
    </row>
    <row r="654" customFormat="false" ht="15" hidden="false" customHeight="false" outlineLevel="0" collapsed="false">
      <c r="I654" s="22"/>
    </row>
    <row r="655" customFormat="false" ht="15" hidden="false" customHeight="false" outlineLevel="0" collapsed="false">
      <c r="I655" s="22"/>
    </row>
    <row r="656" customFormat="false" ht="15" hidden="false" customHeight="false" outlineLevel="0" collapsed="false">
      <c r="I656" s="22"/>
    </row>
    <row r="657" customFormat="false" ht="15" hidden="false" customHeight="false" outlineLevel="0" collapsed="false">
      <c r="I657" s="22"/>
    </row>
    <row r="658" customFormat="false" ht="15" hidden="false" customHeight="false" outlineLevel="0" collapsed="false">
      <c r="I658" s="22"/>
    </row>
    <row r="659" customFormat="false" ht="15" hidden="false" customHeight="false" outlineLevel="0" collapsed="false">
      <c r="I659" s="22"/>
    </row>
    <row r="660" customFormat="false" ht="15" hidden="false" customHeight="false" outlineLevel="0" collapsed="false">
      <c r="I660" s="22"/>
    </row>
    <row r="661" customFormat="false" ht="15" hidden="false" customHeight="false" outlineLevel="0" collapsed="false">
      <c r="I661" s="22"/>
    </row>
    <row r="662" customFormat="false" ht="15" hidden="false" customHeight="false" outlineLevel="0" collapsed="false">
      <c r="I662" s="22"/>
    </row>
    <row r="663" customFormat="false" ht="15" hidden="false" customHeight="false" outlineLevel="0" collapsed="false">
      <c r="I663" s="22"/>
    </row>
    <row r="664" customFormat="false" ht="15" hidden="false" customHeight="false" outlineLevel="0" collapsed="false">
      <c r="I664" s="22"/>
    </row>
    <row r="665" customFormat="false" ht="15" hidden="false" customHeight="false" outlineLevel="0" collapsed="false">
      <c r="I665" s="22"/>
    </row>
    <row r="666" customFormat="false" ht="15" hidden="false" customHeight="false" outlineLevel="0" collapsed="false">
      <c r="I666" s="22"/>
    </row>
    <row r="667" customFormat="false" ht="15" hidden="false" customHeight="false" outlineLevel="0" collapsed="false">
      <c r="I667" s="22"/>
    </row>
    <row r="668" customFormat="false" ht="15" hidden="false" customHeight="false" outlineLevel="0" collapsed="false">
      <c r="I668" s="22"/>
    </row>
    <row r="669" customFormat="false" ht="15" hidden="false" customHeight="false" outlineLevel="0" collapsed="false">
      <c r="I669" s="22"/>
    </row>
    <row r="670" customFormat="false" ht="15" hidden="false" customHeight="false" outlineLevel="0" collapsed="false">
      <c r="I670" s="22"/>
    </row>
    <row r="671" customFormat="false" ht="15" hidden="false" customHeight="false" outlineLevel="0" collapsed="false">
      <c r="I671" s="22"/>
    </row>
    <row r="672" customFormat="false" ht="15" hidden="false" customHeight="false" outlineLevel="0" collapsed="false">
      <c r="I672" s="22"/>
    </row>
    <row r="673" customFormat="false" ht="15" hidden="false" customHeight="false" outlineLevel="0" collapsed="false">
      <c r="I673" s="22"/>
    </row>
    <row r="674" customFormat="false" ht="15" hidden="false" customHeight="false" outlineLevel="0" collapsed="false">
      <c r="I674" s="22"/>
    </row>
    <row r="675" customFormat="false" ht="15" hidden="false" customHeight="false" outlineLevel="0" collapsed="false">
      <c r="I675" s="22"/>
    </row>
    <row r="676" customFormat="false" ht="15" hidden="false" customHeight="false" outlineLevel="0" collapsed="false">
      <c r="I676" s="22"/>
    </row>
    <row r="677" customFormat="false" ht="15" hidden="false" customHeight="false" outlineLevel="0" collapsed="false">
      <c r="I677" s="22"/>
    </row>
    <row r="678" customFormat="false" ht="15" hidden="false" customHeight="false" outlineLevel="0" collapsed="false">
      <c r="I678" s="22"/>
    </row>
    <row r="679" customFormat="false" ht="15" hidden="false" customHeight="false" outlineLevel="0" collapsed="false">
      <c r="I679" s="22"/>
    </row>
    <row r="680" customFormat="false" ht="15" hidden="false" customHeight="false" outlineLevel="0" collapsed="false">
      <c r="I680" s="22"/>
    </row>
    <row r="681" customFormat="false" ht="15" hidden="false" customHeight="false" outlineLevel="0" collapsed="false">
      <c r="I681" s="22"/>
    </row>
    <row r="682" customFormat="false" ht="15" hidden="false" customHeight="false" outlineLevel="0" collapsed="false">
      <c r="I682" s="22"/>
    </row>
    <row r="683" customFormat="false" ht="15" hidden="false" customHeight="false" outlineLevel="0" collapsed="false">
      <c r="I683" s="22"/>
    </row>
    <row r="684" customFormat="false" ht="15" hidden="false" customHeight="false" outlineLevel="0" collapsed="false">
      <c r="I684" s="22"/>
    </row>
    <row r="685" customFormat="false" ht="15" hidden="false" customHeight="false" outlineLevel="0" collapsed="false">
      <c r="I685" s="22"/>
    </row>
    <row r="686" customFormat="false" ht="15" hidden="false" customHeight="false" outlineLevel="0" collapsed="false">
      <c r="I686" s="22"/>
    </row>
    <row r="687" customFormat="false" ht="15" hidden="false" customHeight="false" outlineLevel="0" collapsed="false">
      <c r="I687" s="22"/>
    </row>
    <row r="688" customFormat="false" ht="15" hidden="false" customHeight="false" outlineLevel="0" collapsed="false">
      <c r="I688" s="22"/>
    </row>
    <row r="689" customFormat="false" ht="15" hidden="false" customHeight="false" outlineLevel="0" collapsed="false">
      <c r="I689" s="22"/>
    </row>
    <row r="690" customFormat="false" ht="15" hidden="false" customHeight="false" outlineLevel="0" collapsed="false">
      <c r="I690" s="22"/>
    </row>
    <row r="691" customFormat="false" ht="15" hidden="false" customHeight="false" outlineLevel="0" collapsed="false">
      <c r="I691" s="22"/>
    </row>
    <row r="692" customFormat="false" ht="15" hidden="false" customHeight="false" outlineLevel="0" collapsed="false">
      <c r="I692" s="22"/>
    </row>
    <row r="693" customFormat="false" ht="15" hidden="false" customHeight="false" outlineLevel="0" collapsed="false">
      <c r="I693" s="22"/>
    </row>
    <row r="694" customFormat="false" ht="15" hidden="false" customHeight="false" outlineLevel="0" collapsed="false">
      <c r="I694" s="22"/>
    </row>
    <row r="695" customFormat="false" ht="15" hidden="false" customHeight="false" outlineLevel="0" collapsed="false">
      <c r="I695" s="22"/>
    </row>
    <row r="696" customFormat="false" ht="15" hidden="false" customHeight="false" outlineLevel="0" collapsed="false">
      <c r="I696" s="22"/>
    </row>
    <row r="697" customFormat="false" ht="15" hidden="false" customHeight="false" outlineLevel="0" collapsed="false">
      <c r="I697" s="22"/>
    </row>
    <row r="698" customFormat="false" ht="15" hidden="false" customHeight="false" outlineLevel="0" collapsed="false">
      <c r="I698" s="22"/>
    </row>
    <row r="699" customFormat="false" ht="15" hidden="false" customHeight="false" outlineLevel="0" collapsed="false">
      <c r="I699" s="22"/>
    </row>
    <row r="700" customFormat="false" ht="15" hidden="false" customHeight="false" outlineLevel="0" collapsed="false">
      <c r="I700" s="22"/>
    </row>
    <row r="701" customFormat="false" ht="15" hidden="false" customHeight="false" outlineLevel="0" collapsed="false">
      <c r="I701" s="22"/>
    </row>
    <row r="702" customFormat="false" ht="15" hidden="false" customHeight="false" outlineLevel="0" collapsed="false">
      <c r="I702" s="22"/>
    </row>
    <row r="703" customFormat="false" ht="15" hidden="false" customHeight="false" outlineLevel="0" collapsed="false">
      <c r="I703" s="22"/>
    </row>
    <row r="704" customFormat="false" ht="15" hidden="false" customHeight="false" outlineLevel="0" collapsed="false">
      <c r="I704" s="22"/>
    </row>
    <row r="705" customFormat="false" ht="15" hidden="false" customHeight="false" outlineLevel="0" collapsed="false">
      <c r="I705" s="22"/>
    </row>
    <row r="706" customFormat="false" ht="15" hidden="false" customHeight="false" outlineLevel="0" collapsed="false">
      <c r="I706" s="22"/>
    </row>
    <row r="707" customFormat="false" ht="15" hidden="false" customHeight="false" outlineLevel="0" collapsed="false">
      <c r="I707" s="22"/>
    </row>
    <row r="708" customFormat="false" ht="15" hidden="false" customHeight="false" outlineLevel="0" collapsed="false">
      <c r="I708" s="22"/>
    </row>
    <row r="709" customFormat="false" ht="15" hidden="false" customHeight="false" outlineLevel="0" collapsed="false">
      <c r="I709" s="22"/>
    </row>
    <row r="710" customFormat="false" ht="15" hidden="false" customHeight="false" outlineLevel="0" collapsed="false">
      <c r="I710" s="22"/>
    </row>
    <row r="711" customFormat="false" ht="15" hidden="false" customHeight="false" outlineLevel="0" collapsed="false">
      <c r="I711" s="22"/>
    </row>
    <row r="712" customFormat="false" ht="15" hidden="false" customHeight="false" outlineLevel="0" collapsed="false">
      <c r="I712" s="22"/>
    </row>
    <row r="713" customFormat="false" ht="15" hidden="false" customHeight="false" outlineLevel="0" collapsed="false">
      <c r="I713" s="22"/>
    </row>
    <row r="714" customFormat="false" ht="15" hidden="false" customHeight="false" outlineLevel="0" collapsed="false">
      <c r="I714" s="22"/>
    </row>
    <row r="715" customFormat="false" ht="15" hidden="false" customHeight="false" outlineLevel="0" collapsed="false">
      <c r="I715" s="22"/>
    </row>
    <row r="716" customFormat="false" ht="15" hidden="false" customHeight="false" outlineLevel="0" collapsed="false">
      <c r="I716" s="22"/>
    </row>
    <row r="717" customFormat="false" ht="15" hidden="false" customHeight="false" outlineLevel="0" collapsed="false">
      <c r="I717" s="22"/>
    </row>
    <row r="718" customFormat="false" ht="15" hidden="false" customHeight="false" outlineLevel="0" collapsed="false">
      <c r="I718" s="22"/>
    </row>
    <row r="719" customFormat="false" ht="15" hidden="false" customHeight="false" outlineLevel="0" collapsed="false">
      <c r="I719" s="22"/>
    </row>
    <row r="720" customFormat="false" ht="15" hidden="false" customHeight="false" outlineLevel="0" collapsed="false">
      <c r="I720" s="22"/>
    </row>
    <row r="721" customFormat="false" ht="15" hidden="false" customHeight="false" outlineLevel="0" collapsed="false">
      <c r="I721" s="22"/>
    </row>
    <row r="722" customFormat="false" ht="15" hidden="false" customHeight="false" outlineLevel="0" collapsed="false">
      <c r="I722" s="22"/>
    </row>
    <row r="723" customFormat="false" ht="15" hidden="false" customHeight="false" outlineLevel="0" collapsed="false">
      <c r="I723" s="22"/>
    </row>
    <row r="724" customFormat="false" ht="15" hidden="false" customHeight="false" outlineLevel="0" collapsed="false">
      <c r="I724" s="22"/>
    </row>
    <row r="725" customFormat="false" ht="15" hidden="false" customHeight="false" outlineLevel="0" collapsed="false">
      <c r="I725" s="22"/>
    </row>
    <row r="726" customFormat="false" ht="15" hidden="false" customHeight="false" outlineLevel="0" collapsed="false">
      <c r="I726" s="22"/>
    </row>
    <row r="727" customFormat="false" ht="15" hidden="false" customHeight="false" outlineLevel="0" collapsed="false">
      <c r="I727" s="22"/>
    </row>
    <row r="728" customFormat="false" ht="15" hidden="false" customHeight="false" outlineLevel="0" collapsed="false">
      <c r="I728" s="22"/>
    </row>
    <row r="729" customFormat="false" ht="15" hidden="false" customHeight="false" outlineLevel="0" collapsed="false">
      <c r="I729" s="22"/>
    </row>
    <row r="730" customFormat="false" ht="15" hidden="false" customHeight="false" outlineLevel="0" collapsed="false">
      <c r="I730" s="22"/>
    </row>
    <row r="731" customFormat="false" ht="15" hidden="false" customHeight="false" outlineLevel="0" collapsed="false">
      <c r="I731" s="22"/>
    </row>
    <row r="732" customFormat="false" ht="15" hidden="false" customHeight="false" outlineLevel="0" collapsed="false">
      <c r="I732" s="22"/>
    </row>
    <row r="733" customFormat="false" ht="15" hidden="false" customHeight="false" outlineLevel="0" collapsed="false">
      <c r="I733" s="22"/>
    </row>
    <row r="734" customFormat="false" ht="15" hidden="false" customHeight="false" outlineLevel="0" collapsed="false">
      <c r="I734" s="22"/>
    </row>
    <row r="735" customFormat="false" ht="15" hidden="false" customHeight="false" outlineLevel="0" collapsed="false">
      <c r="I735" s="22"/>
    </row>
    <row r="736" customFormat="false" ht="15" hidden="false" customHeight="false" outlineLevel="0" collapsed="false">
      <c r="I736" s="22"/>
    </row>
    <row r="737" customFormat="false" ht="15" hidden="false" customHeight="false" outlineLevel="0" collapsed="false">
      <c r="I737" s="22"/>
    </row>
    <row r="738" customFormat="false" ht="15" hidden="false" customHeight="false" outlineLevel="0" collapsed="false">
      <c r="I738" s="22"/>
    </row>
    <row r="739" customFormat="false" ht="15" hidden="false" customHeight="false" outlineLevel="0" collapsed="false">
      <c r="I739" s="22"/>
    </row>
    <row r="740" customFormat="false" ht="15" hidden="false" customHeight="false" outlineLevel="0" collapsed="false">
      <c r="I740" s="22"/>
    </row>
    <row r="741" customFormat="false" ht="15" hidden="false" customHeight="false" outlineLevel="0" collapsed="false">
      <c r="I741" s="22"/>
    </row>
    <row r="742" customFormat="false" ht="15" hidden="false" customHeight="false" outlineLevel="0" collapsed="false">
      <c r="I742" s="22"/>
    </row>
    <row r="743" customFormat="false" ht="15" hidden="false" customHeight="false" outlineLevel="0" collapsed="false">
      <c r="I743" s="22"/>
    </row>
    <row r="744" customFormat="false" ht="15" hidden="false" customHeight="false" outlineLevel="0" collapsed="false">
      <c r="I744" s="22"/>
    </row>
    <row r="745" customFormat="false" ht="15" hidden="false" customHeight="false" outlineLevel="0" collapsed="false">
      <c r="I745" s="22"/>
    </row>
    <row r="746" customFormat="false" ht="15" hidden="false" customHeight="false" outlineLevel="0" collapsed="false">
      <c r="I746" s="22"/>
    </row>
    <row r="747" customFormat="false" ht="15" hidden="false" customHeight="false" outlineLevel="0" collapsed="false">
      <c r="I747" s="22"/>
    </row>
    <row r="748" customFormat="false" ht="15" hidden="false" customHeight="false" outlineLevel="0" collapsed="false">
      <c r="I748" s="22"/>
    </row>
    <row r="749" customFormat="false" ht="15" hidden="false" customHeight="false" outlineLevel="0" collapsed="false">
      <c r="I749" s="22"/>
    </row>
    <row r="750" customFormat="false" ht="15" hidden="false" customHeight="false" outlineLevel="0" collapsed="false">
      <c r="I750" s="22"/>
    </row>
    <row r="751" customFormat="false" ht="15" hidden="false" customHeight="false" outlineLevel="0" collapsed="false">
      <c r="I751" s="22"/>
    </row>
    <row r="752" customFormat="false" ht="15" hidden="false" customHeight="false" outlineLevel="0" collapsed="false">
      <c r="I752" s="22"/>
    </row>
    <row r="753" customFormat="false" ht="15" hidden="false" customHeight="false" outlineLevel="0" collapsed="false">
      <c r="I753" s="22"/>
    </row>
    <row r="754" customFormat="false" ht="15" hidden="false" customHeight="false" outlineLevel="0" collapsed="false">
      <c r="I754" s="22"/>
    </row>
    <row r="755" customFormat="false" ht="15" hidden="false" customHeight="false" outlineLevel="0" collapsed="false">
      <c r="I755" s="22"/>
    </row>
    <row r="756" customFormat="false" ht="15" hidden="false" customHeight="false" outlineLevel="0" collapsed="false">
      <c r="I756" s="22"/>
    </row>
    <row r="757" customFormat="false" ht="15" hidden="false" customHeight="false" outlineLevel="0" collapsed="false">
      <c r="I757" s="22"/>
    </row>
    <row r="758" customFormat="false" ht="15" hidden="false" customHeight="false" outlineLevel="0" collapsed="false">
      <c r="I758" s="22"/>
    </row>
    <row r="759" customFormat="false" ht="15" hidden="false" customHeight="false" outlineLevel="0" collapsed="false">
      <c r="I759" s="22"/>
    </row>
    <row r="760" customFormat="false" ht="15" hidden="false" customHeight="false" outlineLevel="0" collapsed="false">
      <c r="I760" s="22"/>
    </row>
    <row r="761" customFormat="false" ht="15" hidden="false" customHeight="false" outlineLevel="0" collapsed="false">
      <c r="I761" s="22"/>
    </row>
    <row r="762" customFormat="false" ht="15" hidden="false" customHeight="false" outlineLevel="0" collapsed="false">
      <c r="I762" s="22"/>
    </row>
    <row r="763" customFormat="false" ht="15" hidden="false" customHeight="false" outlineLevel="0" collapsed="false">
      <c r="I763" s="22"/>
    </row>
    <row r="764" customFormat="false" ht="15" hidden="false" customHeight="false" outlineLevel="0" collapsed="false">
      <c r="I764" s="22"/>
    </row>
    <row r="765" customFormat="false" ht="15" hidden="false" customHeight="false" outlineLevel="0" collapsed="false">
      <c r="I765" s="22"/>
    </row>
    <row r="766" customFormat="false" ht="15" hidden="false" customHeight="false" outlineLevel="0" collapsed="false">
      <c r="I766" s="22"/>
    </row>
    <row r="767" customFormat="false" ht="15" hidden="false" customHeight="false" outlineLevel="0" collapsed="false">
      <c r="I767" s="22"/>
    </row>
    <row r="768" customFormat="false" ht="15" hidden="false" customHeight="false" outlineLevel="0" collapsed="false">
      <c r="I768" s="22"/>
    </row>
    <row r="769" customFormat="false" ht="15" hidden="false" customHeight="false" outlineLevel="0" collapsed="false">
      <c r="I769" s="22"/>
    </row>
    <row r="770" customFormat="false" ht="15" hidden="false" customHeight="false" outlineLevel="0" collapsed="false">
      <c r="I770" s="22"/>
    </row>
    <row r="771" customFormat="false" ht="15" hidden="false" customHeight="false" outlineLevel="0" collapsed="false">
      <c r="I771" s="22"/>
    </row>
    <row r="772" customFormat="false" ht="15" hidden="false" customHeight="false" outlineLevel="0" collapsed="false">
      <c r="I772" s="22"/>
    </row>
    <row r="773" customFormat="false" ht="15" hidden="false" customHeight="false" outlineLevel="0" collapsed="false">
      <c r="I773" s="22"/>
    </row>
    <row r="774" customFormat="false" ht="15" hidden="false" customHeight="false" outlineLevel="0" collapsed="false">
      <c r="I774" s="22"/>
    </row>
    <row r="775" customFormat="false" ht="15" hidden="false" customHeight="false" outlineLevel="0" collapsed="false">
      <c r="I775" s="22"/>
    </row>
    <row r="776" customFormat="false" ht="15" hidden="false" customHeight="false" outlineLevel="0" collapsed="false">
      <c r="I776" s="22"/>
    </row>
    <row r="777" customFormat="false" ht="15" hidden="false" customHeight="false" outlineLevel="0" collapsed="false">
      <c r="I777" s="22"/>
    </row>
    <row r="778" customFormat="false" ht="15" hidden="false" customHeight="false" outlineLevel="0" collapsed="false">
      <c r="I778" s="22"/>
    </row>
    <row r="779" customFormat="false" ht="15" hidden="false" customHeight="false" outlineLevel="0" collapsed="false">
      <c r="I779" s="22"/>
    </row>
    <row r="780" customFormat="false" ht="15" hidden="false" customHeight="false" outlineLevel="0" collapsed="false">
      <c r="I780" s="22"/>
    </row>
    <row r="781" customFormat="false" ht="15" hidden="false" customHeight="false" outlineLevel="0" collapsed="false">
      <c r="I781" s="22"/>
    </row>
    <row r="782" customFormat="false" ht="15" hidden="false" customHeight="false" outlineLevel="0" collapsed="false">
      <c r="I782" s="22"/>
    </row>
    <row r="783" customFormat="false" ht="15" hidden="false" customHeight="false" outlineLevel="0" collapsed="false">
      <c r="I783" s="22"/>
    </row>
    <row r="784" customFormat="false" ht="15" hidden="false" customHeight="false" outlineLevel="0" collapsed="false">
      <c r="I784" s="22"/>
    </row>
    <row r="785" customFormat="false" ht="15" hidden="false" customHeight="false" outlineLevel="0" collapsed="false">
      <c r="I785" s="22"/>
    </row>
    <row r="786" customFormat="false" ht="15" hidden="false" customHeight="false" outlineLevel="0" collapsed="false">
      <c r="I786" s="22"/>
    </row>
    <row r="787" customFormat="false" ht="15" hidden="false" customHeight="false" outlineLevel="0" collapsed="false">
      <c r="I787" s="22"/>
    </row>
    <row r="788" customFormat="false" ht="15" hidden="false" customHeight="false" outlineLevel="0" collapsed="false">
      <c r="I788" s="22"/>
    </row>
    <row r="789" customFormat="false" ht="15" hidden="false" customHeight="false" outlineLevel="0" collapsed="false">
      <c r="I789" s="22"/>
    </row>
    <row r="790" customFormat="false" ht="15" hidden="false" customHeight="false" outlineLevel="0" collapsed="false">
      <c r="I790" s="22"/>
    </row>
    <row r="791" customFormat="false" ht="15" hidden="false" customHeight="false" outlineLevel="0" collapsed="false">
      <c r="I791" s="22"/>
    </row>
    <row r="792" customFormat="false" ht="15" hidden="false" customHeight="false" outlineLevel="0" collapsed="false">
      <c r="I792" s="22"/>
    </row>
    <row r="793" customFormat="false" ht="15" hidden="false" customHeight="false" outlineLevel="0" collapsed="false">
      <c r="I793" s="22"/>
    </row>
    <row r="794" customFormat="false" ht="15" hidden="false" customHeight="false" outlineLevel="0" collapsed="false">
      <c r="I794" s="22"/>
    </row>
    <row r="795" customFormat="false" ht="15" hidden="false" customHeight="false" outlineLevel="0" collapsed="false">
      <c r="I795" s="22"/>
    </row>
    <row r="796" customFormat="false" ht="15" hidden="false" customHeight="false" outlineLevel="0" collapsed="false">
      <c r="I796" s="22"/>
    </row>
    <row r="797" customFormat="false" ht="15" hidden="false" customHeight="false" outlineLevel="0" collapsed="false">
      <c r="I797" s="22"/>
    </row>
    <row r="798" customFormat="false" ht="15" hidden="false" customHeight="false" outlineLevel="0" collapsed="false">
      <c r="I798" s="22"/>
    </row>
    <row r="799" customFormat="false" ht="15" hidden="false" customHeight="false" outlineLevel="0" collapsed="false">
      <c r="I799" s="22"/>
    </row>
    <row r="800" customFormat="false" ht="15" hidden="false" customHeight="false" outlineLevel="0" collapsed="false">
      <c r="I800" s="22"/>
    </row>
    <row r="801" customFormat="false" ht="15" hidden="false" customHeight="false" outlineLevel="0" collapsed="false">
      <c r="I801" s="22"/>
    </row>
    <row r="802" customFormat="false" ht="15" hidden="false" customHeight="false" outlineLevel="0" collapsed="false">
      <c r="I802" s="22"/>
    </row>
    <row r="803" customFormat="false" ht="15" hidden="false" customHeight="false" outlineLevel="0" collapsed="false">
      <c r="I803" s="22"/>
    </row>
    <row r="804" customFormat="false" ht="15" hidden="false" customHeight="false" outlineLevel="0" collapsed="false">
      <c r="I804" s="22"/>
    </row>
    <row r="805" customFormat="false" ht="15" hidden="false" customHeight="false" outlineLevel="0" collapsed="false">
      <c r="I805" s="22"/>
    </row>
    <row r="806" customFormat="false" ht="15" hidden="false" customHeight="false" outlineLevel="0" collapsed="false">
      <c r="I806" s="22"/>
    </row>
    <row r="807" customFormat="false" ht="15" hidden="false" customHeight="false" outlineLevel="0" collapsed="false">
      <c r="I807" s="22"/>
    </row>
    <row r="808" customFormat="false" ht="15" hidden="false" customHeight="false" outlineLevel="0" collapsed="false">
      <c r="I808" s="22"/>
    </row>
    <row r="809" customFormat="false" ht="15" hidden="false" customHeight="false" outlineLevel="0" collapsed="false">
      <c r="I809" s="22"/>
    </row>
    <row r="810" customFormat="false" ht="15" hidden="false" customHeight="false" outlineLevel="0" collapsed="false">
      <c r="I810" s="22"/>
    </row>
    <row r="811" customFormat="false" ht="15" hidden="false" customHeight="false" outlineLevel="0" collapsed="false">
      <c r="I811" s="22"/>
    </row>
    <row r="812" customFormat="false" ht="15" hidden="false" customHeight="false" outlineLevel="0" collapsed="false">
      <c r="I812" s="22"/>
    </row>
    <row r="813" customFormat="false" ht="15" hidden="false" customHeight="false" outlineLevel="0" collapsed="false">
      <c r="I813" s="22"/>
    </row>
    <row r="814" customFormat="false" ht="15" hidden="false" customHeight="false" outlineLevel="0" collapsed="false">
      <c r="I814" s="22"/>
    </row>
    <row r="815" customFormat="false" ht="15" hidden="false" customHeight="false" outlineLevel="0" collapsed="false">
      <c r="I815" s="22"/>
    </row>
    <row r="816" customFormat="false" ht="15" hidden="false" customHeight="false" outlineLevel="0" collapsed="false">
      <c r="I816" s="22"/>
    </row>
    <row r="817" customFormat="false" ht="15" hidden="false" customHeight="false" outlineLevel="0" collapsed="false">
      <c r="I817" s="22"/>
    </row>
    <row r="818" customFormat="false" ht="15" hidden="false" customHeight="false" outlineLevel="0" collapsed="false">
      <c r="I818" s="22"/>
    </row>
    <row r="819" customFormat="false" ht="15" hidden="false" customHeight="false" outlineLevel="0" collapsed="false">
      <c r="I819" s="22"/>
    </row>
    <row r="820" customFormat="false" ht="15" hidden="false" customHeight="false" outlineLevel="0" collapsed="false">
      <c r="I820" s="22"/>
    </row>
    <row r="821" customFormat="false" ht="15" hidden="false" customHeight="false" outlineLevel="0" collapsed="false">
      <c r="I821" s="22"/>
    </row>
    <row r="822" customFormat="false" ht="15" hidden="false" customHeight="false" outlineLevel="0" collapsed="false">
      <c r="I822" s="22"/>
    </row>
    <row r="823" customFormat="false" ht="15" hidden="false" customHeight="false" outlineLevel="0" collapsed="false">
      <c r="I823" s="22"/>
    </row>
    <row r="824" customFormat="false" ht="15" hidden="false" customHeight="false" outlineLevel="0" collapsed="false">
      <c r="I824" s="22"/>
    </row>
    <row r="825" customFormat="false" ht="15" hidden="false" customHeight="false" outlineLevel="0" collapsed="false">
      <c r="I825" s="22"/>
    </row>
    <row r="826" customFormat="false" ht="15" hidden="false" customHeight="false" outlineLevel="0" collapsed="false">
      <c r="I826" s="22"/>
    </row>
    <row r="827" customFormat="false" ht="15" hidden="false" customHeight="false" outlineLevel="0" collapsed="false">
      <c r="I827" s="22"/>
    </row>
    <row r="828" customFormat="false" ht="15" hidden="false" customHeight="false" outlineLevel="0" collapsed="false">
      <c r="I828" s="22"/>
    </row>
    <row r="829" customFormat="false" ht="15" hidden="false" customHeight="false" outlineLevel="0" collapsed="false">
      <c r="I829" s="22"/>
    </row>
    <row r="830" customFormat="false" ht="15" hidden="false" customHeight="false" outlineLevel="0" collapsed="false">
      <c r="I830" s="22"/>
    </row>
    <row r="831" customFormat="false" ht="15" hidden="false" customHeight="false" outlineLevel="0" collapsed="false">
      <c r="I831" s="22"/>
    </row>
    <row r="832" customFormat="false" ht="15" hidden="false" customHeight="false" outlineLevel="0" collapsed="false">
      <c r="I832" s="22"/>
    </row>
    <row r="833" customFormat="false" ht="15" hidden="false" customHeight="false" outlineLevel="0" collapsed="false">
      <c r="I833" s="22"/>
    </row>
    <row r="834" customFormat="false" ht="15" hidden="false" customHeight="false" outlineLevel="0" collapsed="false">
      <c r="I834" s="22"/>
    </row>
    <row r="835" customFormat="false" ht="15" hidden="false" customHeight="false" outlineLevel="0" collapsed="false">
      <c r="I835" s="22"/>
    </row>
    <row r="836" customFormat="false" ht="15" hidden="false" customHeight="false" outlineLevel="0" collapsed="false">
      <c r="I836" s="22"/>
    </row>
    <row r="837" customFormat="false" ht="15" hidden="false" customHeight="false" outlineLevel="0" collapsed="false">
      <c r="I837" s="22"/>
    </row>
    <row r="838" customFormat="false" ht="15" hidden="false" customHeight="false" outlineLevel="0" collapsed="false">
      <c r="I838" s="22"/>
    </row>
    <row r="839" customFormat="false" ht="15" hidden="false" customHeight="false" outlineLevel="0" collapsed="false">
      <c r="I839" s="22"/>
    </row>
    <row r="840" customFormat="false" ht="15" hidden="false" customHeight="false" outlineLevel="0" collapsed="false">
      <c r="I840" s="22"/>
    </row>
    <row r="841" customFormat="false" ht="15" hidden="false" customHeight="false" outlineLevel="0" collapsed="false">
      <c r="I841" s="22"/>
    </row>
    <row r="842" customFormat="false" ht="15" hidden="false" customHeight="false" outlineLevel="0" collapsed="false">
      <c r="I842" s="22"/>
    </row>
    <row r="843" customFormat="false" ht="15" hidden="false" customHeight="false" outlineLevel="0" collapsed="false">
      <c r="I843" s="22"/>
    </row>
    <row r="844" customFormat="false" ht="15" hidden="false" customHeight="false" outlineLevel="0" collapsed="false">
      <c r="I844" s="22"/>
    </row>
    <row r="845" customFormat="false" ht="15" hidden="false" customHeight="false" outlineLevel="0" collapsed="false">
      <c r="I845" s="22"/>
    </row>
    <row r="846" customFormat="false" ht="15" hidden="false" customHeight="false" outlineLevel="0" collapsed="false">
      <c r="I846" s="22"/>
    </row>
    <row r="847" customFormat="false" ht="15" hidden="false" customHeight="false" outlineLevel="0" collapsed="false">
      <c r="I847" s="22"/>
    </row>
    <row r="848" customFormat="false" ht="15" hidden="false" customHeight="false" outlineLevel="0" collapsed="false">
      <c r="I848" s="22"/>
    </row>
    <row r="849" customFormat="false" ht="15" hidden="false" customHeight="false" outlineLevel="0" collapsed="false">
      <c r="I849" s="22"/>
    </row>
    <row r="850" customFormat="false" ht="15" hidden="false" customHeight="false" outlineLevel="0" collapsed="false">
      <c r="I850" s="22"/>
    </row>
    <row r="851" customFormat="false" ht="15" hidden="false" customHeight="false" outlineLevel="0" collapsed="false">
      <c r="I851" s="22"/>
    </row>
    <row r="852" customFormat="false" ht="15" hidden="false" customHeight="false" outlineLevel="0" collapsed="false">
      <c r="I852" s="22"/>
    </row>
    <row r="853" customFormat="false" ht="15" hidden="false" customHeight="false" outlineLevel="0" collapsed="false">
      <c r="I853" s="22"/>
    </row>
    <row r="854" customFormat="false" ht="15" hidden="false" customHeight="false" outlineLevel="0" collapsed="false">
      <c r="I854" s="22"/>
    </row>
    <row r="855" customFormat="false" ht="15" hidden="false" customHeight="false" outlineLevel="0" collapsed="false">
      <c r="I855" s="22"/>
    </row>
    <row r="856" customFormat="false" ht="15" hidden="false" customHeight="false" outlineLevel="0" collapsed="false">
      <c r="I856" s="22"/>
    </row>
    <row r="857" customFormat="false" ht="15" hidden="false" customHeight="false" outlineLevel="0" collapsed="false">
      <c r="I857" s="22"/>
    </row>
    <row r="858" customFormat="false" ht="15" hidden="false" customHeight="false" outlineLevel="0" collapsed="false">
      <c r="I858" s="22"/>
    </row>
    <row r="859" customFormat="false" ht="15" hidden="false" customHeight="false" outlineLevel="0" collapsed="false">
      <c r="I859" s="22"/>
    </row>
    <row r="860" customFormat="false" ht="15" hidden="false" customHeight="false" outlineLevel="0" collapsed="false">
      <c r="I860" s="22"/>
    </row>
    <row r="861" customFormat="false" ht="15" hidden="false" customHeight="false" outlineLevel="0" collapsed="false">
      <c r="I861" s="22"/>
    </row>
    <row r="862" customFormat="false" ht="15" hidden="false" customHeight="false" outlineLevel="0" collapsed="false">
      <c r="I862" s="22"/>
    </row>
    <row r="863" customFormat="false" ht="15" hidden="false" customHeight="false" outlineLevel="0" collapsed="false">
      <c r="I863" s="22"/>
    </row>
    <row r="864" customFormat="false" ht="15" hidden="false" customHeight="false" outlineLevel="0" collapsed="false">
      <c r="I864" s="22"/>
    </row>
    <row r="865" customFormat="false" ht="15" hidden="false" customHeight="false" outlineLevel="0" collapsed="false">
      <c r="I865" s="22"/>
    </row>
    <row r="866" customFormat="false" ht="15" hidden="false" customHeight="false" outlineLevel="0" collapsed="false">
      <c r="I866" s="22"/>
    </row>
    <row r="867" customFormat="false" ht="15" hidden="false" customHeight="false" outlineLevel="0" collapsed="false">
      <c r="I867" s="22"/>
    </row>
    <row r="868" customFormat="false" ht="15" hidden="false" customHeight="false" outlineLevel="0" collapsed="false">
      <c r="I868" s="22"/>
    </row>
    <row r="869" customFormat="false" ht="15" hidden="false" customHeight="false" outlineLevel="0" collapsed="false">
      <c r="I869" s="22"/>
    </row>
    <row r="870" customFormat="false" ht="15" hidden="false" customHeight="false" outlineLevel="0" collapsed="false">
      <c r="I870" s="22"/>
    </row>
    <row r="871" customFormat="false" ht="15" hidden="false" customHeight="false" outlineLevel="0" collapsed="false">
      <c r="I871" s="22"/>
    </row>
    <row r="872" customFormat="false" ht="15" hidden="false" customHeight="false" outlineLevel="0" collapsed="false">
      <c r="I872" s="22"/>
    </row>
    <row r="873" customFormat="false" ht="15" hidden="false" customHeight="false" outlineLevel="0" collapsed="false">
      <c r="I873" s="22"/>
    </row>
    <row r="874" customFormat="false" ht="15" hidden="false" customHeight="false" outlineLevel="0" collapsed="false">
      <c r="I874" s="22"/>
    </row>
    <row r="875" customFormat="false" ht="15" hidden="false" customHeight="false" outlineLevel="0" collapsed="false">
      <c r="I875" s="22"/>
    </row>
    <row r="876" customFormat="false" ht="15" hidden="false" customHeight="false" outlineLevel="0" collapsed="false">
      <c r="I876" s="22"/>
    </row>
    <row r="877" customFormat="false" ht="15" hidden="false" customHeight="false" outlineLevel="0" collapsed="false">
      <c r="I877" s="22"/>
    </row>
    <row r="878" customFormat="false" ht="15" hidden="false" customHeight="false" outlineLevel="0" collapsed="false">
      <c r="I878" s="22"/>
    </row>
    <row r="879" customFormat="false" ht="15" hidden="false" customHeight="false" outlineLevel="0" collapsed="false">
      <c r="I879" s="22"/>
    </row>
    <row r="880" customFormat="false" ht="15" hidden="false" customHeight="false" outlineLevel="0" collapsed="false">
      <c r="I880" s="22"/>
    </row>
    <row r="881" customFormat="false" ht="15" hidden="false" customHeight="false" outlineLevel="0" collapsed="false">
      <c r="I881" s="22"/>
    </row>
    <row r="882" customFormat="false" ht="15" hidden="false" customHeight="false" outlineLevel="0" collapsed="false">
      <c r="I882" s="22"/>
    </row>
    <row r="883" customFormat="false" ht="15" hidden="false" customHeight="false" outlineLevel="0" collapsed="false">
      <c r="I883" s="22"/>
    </row>
    <row r="884" customFormat="false" ht="15" hidden="false" customHeight="false" outlineLevel="0" collapsed="false">
      <c r="I884" s="22"/>
    </row>
    <row r="885" customFormat="false" ht="15" hidden="false" customHeight="false" outlineLevel="0" collapsed="false">
      <c r="I885" s="22"/>
    </row>
    <row r="886" customFormat="false" ht="15" hidden="false" customHeight="false" outlineLevel="0" collapsed="false">
      <c r="I886" s="22"/>
    </row>
    <row r="887" customFormat="false" ht="15" hidden="false" customHeight="false" outlineLevel="0" collapsed="false">
      <c r="I887" s="22"/>
    </row>
    <row r="888" customFormat="false" ht="15" hidden="false" customHeight="false" outlineLevel="0" collapsed="false">
      <c r="I888" s="22"/>
    </row>
    <row r="889" customFormat="false" ht="15" hidden="false" customHeight="false" outlineLevel="0" collapsed="false">
      <c r="I889" s="22"/>
    </row>
    <row r="890" customFormat="false" ht="15" hidden="false" customHeight="false" outlineLevel="0" collapsed="false">
      <c r="I890" s="22"/>
    </row>
    <row r="891" customFormat="false" ht="15" hidden="false" customHeight="false" outlineLevel="0" collapsed="false">
      <c r="I891" s="22"/>
    </row>
    <row r="892" customFormat="false" ht="15" hidden="false" customHeight="false" outlineLevel="0" collapsed="false">
      <c r="I892" s="22"/>
    </row>
    <row r="893" customFormat="false" ht="15" hidden="false" customHeight="false" outlineLevel="0" collapsed="false">
      <c r="I893" s="22"/>
    </row>
    <row r="894" customFormat="false" ht="15" hidden="false" customHeight="false" outlineLevel="0" collapsed="false">
      <c r="I894" s="22"/>
    </row>
    <row r="895" customFormat="false" ht="15" hidden="false" customHeight="false" outlineLevel="0" collapsed="false">
      <c r="I895" s="22"/>
    </row>
    <row r="896" customFormat="false" ht="15" hidden="false" customHeight="false" outlineLevel="0" collapsed="false">
      <c r="I896" s="22"/>
    </row>
    <row r="897" customFormat="false" ht="15" hidden="false" customHeight="false" outlineLevel="0" collapsed="false">
      <c r="I897" s="22"/>
    </row>
    <row r="898" customFormat="false" ht="15" hidden="false" customHeight="false" outlineLevel="0" collapsed="false">
      <c r="I898" s="22"/>
    </row>
    <row r="899" customFormat="false" ht="15" hidden="false" customHeight="false" outlineLevel="0" collapsed="false">
      <c r="I899" s="22"/>
    </row>
    <row r="900" customFormat="false" ht="15" hidden="false" customHeight="false" outlineLevel="0" collapsed="false">
      <c r="I900" s="22"/>
    </row>
    <row r="901" customFormat="false" ht="15" hidden="false" customHeight="false" outlineLevel="0" collapsed="false">
      <c r="I901" s="22"/>
    </row>
    <row r="902" customFormat="false" ht="15" hidden="false" customHeight="false" outlineLevel="0" collapsed="false">
      <c r="I902" s="22"/>
    </row>
    <row r="903" customFormat="false" ht="15" hidden="false" customHeight="false" outlineLevel="0" collapsed="false">
      <c r="I903" s="22"/>
    </row>
    <row r="904" customFormat="false" ht="15" hidden="false" customHeight="false" outlineLevel="0" collapsed="false">
      <c r="I904" s="22"/>
    </row>
    <row r="905" customFormat="false" ht="15" hidden="false" customHeight="false" outlineLevel="0" collapsed="false">
      <c r="I905" s="22"/>
    </row>
    <row r="906" customFormat="false" ht="15" hidden="false" customHeight="false" outlineLevel="0" collapsed="false">
      <c r="I906" s="22"/>
    </row>
    <row r="907" customFormat="false" ht="15" hidden="false" customHeight="false" outlineLevel="0" collapsed="false">
      <c r="I907" s="22"/>
    </row>
    <row r="908" customFormat="false" ht="15" hidden="false" customHeight="false" outlineLevel="0" collapsed="false">
      <c r="I908" s="22"/>
    </row>
    <row r="909" customFormat="false" ht="15" hidden="false" customHeight="false" outlineLevel="0" collapsed="false">
      <c r="I909" s="22"/>
    </row>
    <row r="910" customFormat="false" ht="15" hidden="false" customHeight="false" outlineLevel="0" collapsed="false">
      <c r="I910" s="22"/>
    </row>
    <row r="911" customFormat="false" ht="15" hidden="false" customHeight="false" outlineLevel="0" collapsed="false">
      <c r="I911" s="22"/>
    </row>
    <row r="912" customFormat="false" ht="15" hidden="false" customHeight="false" outlineLevel="0" collapsed="false">
      <c r="I912" s="22"/>
    </row>
    <row r="913" customFormat="false" ht="15" hidden="false" customHeight="false" outlineLevel="0" collapsed="false">
      <c r="I913" s="22"/>
    </row>
    <row r="914" customFormat="false" ht="15" hidden="false" customHeight="false" outlineLevel="0" collapsed="false">
      <c r="I914" s="22"/>
    </row>
    <row r="915" customFormat="false" ht="15" hidden="false" customHeight="false" outlineLevel="0" collapsed="false">
      <c r="I915" s="22"/>
    </row>
    <row r="916" customFormat="false" ht="15" hidden="false" customHeight="false" outlineLevel="0" collapsed="false">
      <c r="I916" s="22"/>
    </row>
    <row r="917" customFormat="false" ht="15" hidden="false" customHeight="false" outlineLevel="0" collapsed="false">
      <c r="I917" s="22"/>
    </row>
    <row r="918" customFormat="false" ht="15" hidden="false" customHeight="false" outlineLevel="0" collapsed="false">
      <c r="I918" s="22"/>
    </row>
    <row r="919" customFormat="false" ht="15" hidden="false" customHeight="false" outlineLevel="0" collapsed="false">
      <c r="I919" s="22"/>
    </row>
    <row r="920" customFormat="false" ht="15" hidden="false" customHeight="false" outlineLevel="0" collapsed="false">
      <c r="I920" s="22"/>
    </row>
    <row r="921" customFormat="false" ht="15" hidden="false" customHeight="false" outlineLevel="0" collapsed="false">
      <c r="I921" s="22"/>
    </row>
    <row r="922" customFormat="false" ht="15" hidden="false" customHeight="false" outlineLevel="0" collapsed="false">
      <c r="I922" s="22"/>
    </row>
    <row r="923" customFormat="false" ht="15" hidden="false" customHeight="false" outlineLevel="0" collapsed="false">
      <c r="I923" s="22"/>
    </row>
    <row r="924" customFormat="false" ht="15" hidden="false" customHeight="false" outlineLevel="0" collapsed="false">
      <c r="I924" s="22"/>
    </row>
    <row r="925" customFormat="false" ht="15" hidden="false" customHeight="false" outlineLevel="0" collapsed="false">
      <c r="I925" s="22"/>
    </row>
    <row r="926" customFormat="false" ht="15" hidden="false" customHeight="false" outlineLevel="0" collapsed="false">
      <c r="I926" s="22"/>
    </row>
    <row r="927" customFormat="false" ht="15" hidden="false" customHeight="false" outlineLevel="0" collapsed="false">
      <c r="I927" s="22"/>
    </row>
    <row r="928" customFormat="false" ht="15" hidden="false" customHeight="false" outlineLevel="0" collapsed="false">
      <c r="I928" s="22"/>
    </row>
    <row r="929" customFormat="false" ht="15" hidden="false" customHeight="false" outlineLevel="0" collapsed="false">
      <c r="I929" s="22"/>
    </row>
    <row r="930" customFormat="false" ht="15" hidden="false" customHeight="false" outlineLevel="0" collapsed="false">
      <c r="I930" s="22"/>
    </row>
    <row r="931" customFormat="false" ht="15" hidden="false" customHeight="false" outlineLevel="0" collapsed="false">
      <c r="I931" s="22"/>
    </row>
    <row r="932" customFormat="false" ht="15" hidden="false" customHeight="false" outlineLevel="0" collapsed="false">
      <c r="I932" s="22"/>
    </row>
    <row r="933" customFormat="false" ht="15" hidden="false" customHeight="false" outlineLevel="0" collapsed="false">
      <c r="I933" s="22"/>
    </row>
    <row r="934" customFormat="false" ht="15" hidden="false" customHeight="false" outlineLevel="0" collapsed="false">
      <c r="I934" s="22"/>
    </row>
    <row r="935" customFormat="false" ht="15" hidden="false" customHeight="false" outlineLevel="0" collapsed="false">
      <c r="I935" s="22"/>
    </row>
    <row r="936" customFormat="false" ht="15" hidden="false" customHeight="false" outlineLevel="0" collapsed="false">
      <c r="I936" s="22"/>
    </row>
    <row r="937" customFormat="false" ht="15" hidden="false" customHeight="false" outlineLevel="0" collapsed="false">
      <c r="I937" s="22"/>
    </row>
    <row r="938" customFormat="false" ht="15" hidden="false" customHeight="false" outlineLevel="0" collapsed="false">
      <c r="I938" s="22"/>
    </row>
    <row r="939" customFormat="false" ht="15" hidden="false" customHeight="false" outlineLevel="0" collapsed="false">
      <c r="I939" s="22"/>
    </row>
    <row r="940" customFormat="false" ht="15" hidden="false" customHeight="false" outlineLevel="0" collapsed="false">
      <c r="I940" s="22"/>
    </row>
    <row r="941" customFormat="false" ht="15" hidden="false" customHeight="false" outlineLevel="0" collapsed="false">
      <c r="I941" s="22"/>
    </row>
    <row r="942" customFormat="false" ht="15" hidden="false" customHeight="false" outlineLevel="0" collapsed="false">
      <c r="I942" s="22"/>
    </row>
    <row r="943" customFormat="false" ht="15" hidden="false" customHeight="false" outlineLevel="0" collapsed="false">
      <c r="I943" s="22"/>
    </row>
    <row r="944" customFormat="false" ht="15" hidden="false" customHeight="false" outlineLevel="0" collapsed="false">
      <c r="I944" s="22"/>
    </row>
    <row r="945" customFormat="false" ht="15" hidden="false" customHeight="false" outlineLevel="0" collapsed="false">
      <c r="I945" s="22"/>
    </row>
    <row r="946" customFormat="false" ht="15" hidden="false" customHeight="false" outlineLevel="0" collapsed="false">
      <c r="I946" s="22"/>
    </row>
    <row r="947" customFormat="false" ht="15" hidden="false" customHeight="false" outlineLevel="0" collapsed="false">
      <c r="I947" s="22"/>
    </row>
    <row r="948" customFormat="false" ht="15" hidden="false" customHeight="false" outlineLevel="0" collapsed="false">
      <c r="I948" s="22"/>
    </row>
    <row r="949" customFormat="false" ht="15" hidden="false" customHeight="false" outlineLevel="0" collapsed="false">
      <c r="I949" s="22"/>
    </row>
    <row r="950" customFormat="false" ht="15" hidden="false" customHeight="false" outlineLevel="0" collapsed="false">
      <c r="I950" s="22"/>
    </row>
    <row r="951" customFormat="false" ht="15" hidden="false" customHeight="false" outlineLevel="0" collapsed="false">
      <c r="I951" s="22"/>
    </row>
    <row r="952" customFormat="false" ht="15" hidden="false" customHeight="false" outlineLevel="0" collapsed="false">
      <c r="I952" s="22"/>
    </row>
    <row r="953" customFormat="false" ht="15" hidden="false" customHeight="false" outlineLevel="0" collapsed="false">
      <c r="I953" s="22"/>
    </row>
    <row r="954" customFormat="false" ht="15" hidden="false" customHeight="false" outlineLevel="0" collapsed="false">
      <c r="I954" s="22"/>
    </row>
    <row r="955" customFormat="false" ht="15" hidden="false" customHeight="false" outlineLevel="0" collapsed="false">
      <c r="I955" s="22"/>
    </row>
    <row r="956" customFormat="false" ht="15" hidden="false" customHeight="false" outlineLevel="0" collapsed="false">
      <c r="I956" s="22"/>
    </row>
    <row r="957" customFormat="false" ht="15" hidden="false" customHeight="false" outlineLevel="0" collapsed="false">
      <c r="I957" s="22"/>
    </row>
    <row r="958" customFormat="false" ht="15" hidden="false" customHeight="false" outlineLevel="0" collapsed="false">
      <c r="I958" s="22"/>
    </row>
    <row r="959" customFormat="false" ht="15" hidden="false" customHeight="false" outlineLevel="0" collapsed="false">
      <c r="I959" s="22"/>
    </row>
    <row r="960" customFormat="false" ht="15" hidden="false" customHeight="false" outlineLevel="0" collapsed="false">
      <c r="I960" s="22"/>
    </row>
    <row r="961" customFormat="false" ht="15" hidden="false" customHeight="false" outlineLevel="0" collapsed="false">
      <c r="I961" s="22"/>
    </row>
    <row r="962" customFormat="false" ht="15" hidden="false" customHeight="false" outlineLevel="0" collapsed="false">
      <c r="I962" s="22"/>
    </row>
    <row r="963" customFormat="false" ht="15" hidden="false" customHeight="false" outlineLevel="0" collapsed="false">
      <c r="I963" s="22"/>
    </row>
    <row r="964" customFormat="false" ht="15" hidden="false" customHeight="false" outlineLevel="0" collapsed="false">
      <c r="I964" s="22"/>
    </row>
    <row r="965" customFormat="false" ht="15" hidden="false" customHeight="false" outlineLevel="0" collapsed="false">
      <c r="I965" s="22"/>
    </row>
    <row r="966" customFormat="false" ht="15" hidden="false" customHeight="false" outlineLevel="0" collapsed="false">
      <c r="I966" s="22"/>
    </row>
    <row r="967" customFormat="false" ht="15" hidden="false" customHeight="false" outlineLevel="0" collapsed="false">
      <c r="I967" s="22"/>
    </row>
    <row r="968" customFormat="false" ht="15" hidden="false" customHeight="false" outlineLevel="0" collapsed="false">
      <c r="I968" s="22"/>
    </row>
    <row r="969" customFormat="false" ht="15" hidden="false" customHeight="false" outlineLevel="0" collapsed="false">
      <c r="I969" s="22"/>
    </row>
    <row r="970" customFormat="false" ht="15" hidden="false" customHeight="false" outlineLevel="0" collapsed="false">
      <c r="I970" s="22"/>
    </row>
    <row r="971" customFormat="false" ht="15" hidden="false" customHeight="false" outlineLevel="0" collapsed="false">
      <c r="I971" s="22"/>
    </row>
    <row r="972" customFormat="false" ht="15" hidden="false" customHeight="false" outlineLevel="0" collapsed="false">
      <c r="I972" s="22"/>
    </row>
    <row r="973" customFormat="false" ht="15" hidden="false" customHeight="false" outlineLevel="0" collapsed="false">
      <c r="I973" s="22"/>
    </row>
    <row r="974" customFormat="false" ht="15" hidden="false" customHeight="false" outlineLevel="0" collapsed="false">
      <c r="I974" s="22"/>
    </row>
    <row r="975" customFormat="false" ht="15" hidden="false" customHeight="false" outlineLevel="0" collapsed="false">
      <c r="I975" s="22"/>
    </row>
    <row r="976" customFormat="false" ht="15" hidden="false" customHeight="false" outlineLevel="0" collapsed="false">
      <c r="I976" s="22"/>
    </row>
    <row r="977" customFormat="false" ht="15" hidden="false" customHeight="false" outlineLevel="0" collapsed="false">
      <c r="I977" s="22"/>
    </row>
    <row r="978" customFormat="false" ht="15" hidden="false" customHeight="false" outlineLevel="0" collapsed="false">
      <c r="I978" s="22"/>
    </row>
    <row r="979" customFormat="false" ht="15" hidden="false" customHeight="false" outlineLevel="0" collapsed="false">
      <c r="I979" s="22"/>
    </row>
    <row r="980" customFormat="false" ht="15" hidden="false" customHeight="false" outlineLevel="0" collapsed="false">
      <c r="I980" s="22"/>
    </row>
    <row r="981" customFormat="false" ht="15" hidden="false" customHeight="false" outlineLevel="0" collapsed="false">
      <c r="I981" s="22"/>
    </row>
    <row r="982" customFormat="false" ht="15" hidden="false" customHeight="false" outlineLevel="0" collapsed="false">
      <c r="I982" s="22"/>
    </row>
    <row r="983" customFormat="false" ht="15" hidden="false" customHeight="false" outlineLevel="0" collapsed="false">
      <c r="I983" s="22"/>
    </row>
    <row r="984" customFormat="false" ht="15" hidden="false" customHeight="false" outlineLevel="0" collapsed="false">
      <c r="I984" s="22"/>
    </row>
    <row r="985" customFormat="false" ht="15" hidden="false" customHeight="false" outlineLevel="0" collapsed="false">
      <c r="I985" s="22"/>
    </row>
    <row r="986" customFormat="false" ht="15" hidden="false" customHeight="false" outlineLevel="0" collapsed="false">
      <c r="I986" s="22"/>
    </row>
    <row r="987" customFormat="false" ht="15" hidden="false" customHeight="false" outlineLevel="0" collapsed="false">
      <c r="I987" s="22"/>
    </row>
    <row r="988" customFormat="false" ht="15" hidden="false" customHeight="false" outlineLevel="0" collapsed="false">
      <c r="I988" s="22"/>
    </row>
    <row r="989" customFormat="false" ht="15" hidden="false" customHeight="false" outlineLevel="0" collapsed="false">
      <c r="I989" s="22"/>
    </row>
    <row r="990" customFormat="false" ht="15" hidden="false" customHeight="false" outlineLevel="0" collapsed="false">
      <c r="I990" s="22"/>
    </row>
    <row r="991" customFormat="false" ht="15" hidden="false" customHeight="false" outlineLevel="0" collapsed="false">
      <c r="I991" s="22"/>
    </row>
    <row r="992" customFormat="false" ht="15" hidden="false" customHeight="false" outlineLevel="0" collapsed="false">
      <c r="I992" s="22"/>
    </row>
    <row r="993" customFormat="false" ht="15" hidden="false" customHeight="false" outlineLevel="0" collapsed="false">
      <c r="I993" s="22"/>
    </row>
    <row r="994" customFormat="false" ht="15" hidden="false" customHeight="false" outlineLevel="0" collapsed="false">
      <c r="I994" s="22"/>
    </row>
    <row r="995" customFormat="false" ht="15" hidden="false" customHeight="false" outlineLevel="0" collapsed="false">
      <c r="I995" s="22"/>
    </row>
    <row r="996" customFormat="false" ht="15" hidden="false" customHeight="false" outlineLevel="0" collapsed="false">
      <c r="I996" s="22"/>
    </row>
    <row r="997" customFormat="false" ht="15" hidden="false" customHeight="false" outlineLevel="0" collapsed="false">
      <c r="I997" s="22"/>
    </row>
    <row r="998" customFormat="false" ht="15" hidden="false" customHeight="false" outlineLevel="0" collapsed="false">
      <c r="I998" s="22"/>
    </row>
    <row r="999" customFormat="false" ht="15" hidden="false" customHeight="false" outlineLevel="0" collapsed="false">
      <c r="I999" s="22"/>
    </row>
    <row r="1000" customFormat="false" ht="15" hidden="false" customHeight="false" outlineLevel="0" collapsed="false">
      <c r="I1000" s="22"/>
    </row>
    <row r="1001" customFormat="false" ht="15" hidden="false" customHeight="false" outlineLevel="0" collapsed="false">
      <c r="I1001" s="22"/>
    </row>
  </sheetData>
  <mergeCells count="8">
    <mergeCell ref="A1:A2"/>
    <mergeCell ref="B1:D1"/>
    <mergeCell ref="E1:G1"/>
    <mergeCell ref="H1:J1"/>
    <mergeCell ref="K1:M1"/>
    <mergeCell ref="N1:P1"/>
    <mergeCell ref="Q1:S1"/>
    <mergeCell ref="Q35:R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10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J19" activeCellId="0" sqref="J19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3.29"/>
  </cols>
  <sheetData>
    <row r="1" customFormat="false" ht="15" hidden="false" customHeight="false" outlineLevel="0" collapsed="false">
      <c r="A1" s="2" t="s">
        <v>0</v>
      </c>
      <c r="B1" s="3" t="s">
        <v>1</v>
      </c>
      <c r="C1" s="3"/>
      <c r="D1" s="3"/>
      <c r="E1" s="4" t="s">
        <v>2</v>
      </c>
      <c r="F1" s="4"/>
      <c r="G1" s="4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</row>
    <row r="2" customFormat="false" ht="15" hidden="false" customHeight="false" outlineLevel="0" collapsed="false">
      <c r="A2" s="2"/>
      <c r="B2" s="7" t="s">
        <v>7</v>
      </c>
      <c r="C2" s="8" t="s">
        <v>8</v>
      </c>
      <c r="D2" s="9" t="s">
        <v>9</v>
      </c>
      <c r="E2" s="7" t="s">
        <v>7</v>
      </c>
      <c r="F2" s="8" t="s">
        <v>8</v>
      </c>
      <c r="G2" s="9" t="s">
        <v>9</v>
      </c>
      <c r="H2" s="7" t="s">
        <v>7</v>
      </c>
      <c r="I2" s="10" t="s">
        <v>8</v>
      </c>
      <c r="J2" s="9" t="s">
        <v>9</v>
      </c>
      <c r="K2" s="7" t="s">
        <v>7</v>
      </c>
      <c r="L2" s="8" t="s">
        <v>8</v>
      </c>
      <c r="M2" s="9" t="s">
        <v>9</v>
      </c>
      <c r="N2" s="7" t="s">
        <v>7</v>
      </c>
      <c r="O2" s="8" t="s">
        <v>8</v>
      </c>
      <c r="P2" s="9" t="s">
        <v>9</v>
      </c>
      <c r="Q2" s="7" t="s">
        <v>7</v>
      </c>
      <c r="R2" s="8" t="s">
        <v>8</v>
      </c>
      <c r="S2" s="9" t="s">
        <v>9</v>
      </c>
    </row>
    <row r="3" customFormat="false" ht="15" hidden="false" customHeight="false" outlineLevel="0" collapsed="false">
      <c r="A3" s="11" t="n">
        <v>46054</v>
      </c>
      <c r="B3" s="12"/>
      <c r="C3" s="13"/>
      <c r="D3" s="13"/>
      <c r="E3" s="12"/>
      <c r="F3" s="13"/>
      <c r="G3" s="13"/>
      <c r="H3" s="12"/>
      <c r="I3" s="13"/>
      <c r="J3" s="14"/>
      <c r="K3" s="13"/>
      <c r="L3" s="13"/>
      <c r="M3" s="14"/>
      <c r="N3" s="13"/>
      <c r="O3" s="13"/>
      <c r="P3" s="14"/>
      <c r="Q3" s="15" t="n">
        <f aca="false">B3+E3+H3+K3+N3</f>
        <v>0</v>
      </c>
      <c r="R3" s="15" t="n">
        <f aca="false">C3+F3+I3+L3+O3</f>
        <v>0</v>
      </c>
      <c r="S3" s="16" t="n">
        <f aca="false">D3+G3+J3+M3+P3</f>
        <v>0</v>
      </c>
    </row>
    <row r="4" customFormat="false" ht="15" hidden="false" customHeight="false" outlineLevel="0" collapsed="false">
      <c r="A4" s="11" t="n">
        <v>46055</v>
      </c>
      <c r="B4" s="12"/>
      <c r="C4" s="13"/>
      <c r="D4" s="13"/>
      <c r="E4" s="12"/>
      <c r="F4" s="13"/>
      <c r="G4" s="13"/>
      <c r="H4" s="12"/>
      <c r="I4" s="13"/>
      <c r="J4" s="14"/>
      <c r="K4" s="13"/>
      <c r="L4" s="13"/>
      <c r="M4" s="14"/>
      <c r="N4" s="13" t="n">
        <v>2</v>
      </c>
      <c r="O4" s="13" t="n">
        <v>0</v>
      </c>
      <c r="P4" s="14" t="n">
        <v>0</v>
      </c>
      <c r="Q4" s="15" t="n">
        <f aca="false">B4+E4+H4+K4+N4</f>
        <v>2</v>
      </c>
      <c r="R4" s="15" t="n">
        <f aca="false">C4+F4+I4+L4+O4</f>
        <v>0</v>
      </c>
      <c r="S4" s="16" t="n">
        <f aca="false">D4+G4+J4+M4+P4</f>
        <v>0</v>
      </c>
    </row>
    <row r="5" customFormat="false" ht="15" hidden="false" customHeight="false" outlineLevel="0" collapsed="false">
      <c r="A5" s="11" t="n">
        <v>46056</v>
      </c>
      <c r="B5" s="12"/>
      <c r="C5" s="13"/>
      <c r="D5" s="13"/>
      <c r="E5" s="12" t="n">
        <v>2</v>
      </c>
      <c r="F5" s="13" t="n">
        <v>1</v>
      </c>
      <c r="G5" s="18" t="n">
        <v>0</v>
      </c>
      <c r="H5" s="13" t="n">
        <v>10</v>
      </c>
      <c r="I5" s="13" t="n">
        <v>0</v>
      </c>
      <c r="J5" s="14" t="n">
        <v>0</v>
      </c>
      <c r="K5" s="13" t="n">
        <v>5</v>
      </c>
      <c r="L5" s="13" t="n">
        <v>1</v>
      </c>
      <c r="M5" s="14" t="n">
        <v>0</v>
      </c>
      <c r="N5" s="13"/>
      <c r="O5" s="13"/>
      <c r="P5" s="14"/>
      <c r="Q5" s="15" t="n">
        <f aca="false">B5+E5+H5+K5+N5</f>
        <v>17</v>
      </c>
      <c r="R5" s="15" t="n">
        <f aca="false">C5+F5+I5+L5+O5</f>
        <v>2</v>
      </c>
      <c r="S5" s="16" t="n">
        <f aca="false">D5+G5+J5+M5+P5</f>
        <v>0</v>
      </c>
    </row>
    <row r="6" customFormat="false" ht="15" hidden="false" customHeight="false" outlineLevel="0" collapsed="false">
      <c r="A6" s="11" t="n">
        <v>46057</v>
      </c>
      <c r="B6" s="12" t="n">
        <v>2</v>
      </c>
      <c r="C6" s="13" t="n">
        <v>1</v>
      </c>
      <c r="D6" s="13" t="n">
        <v>0</v>
      </c>
      <c r="E6" s="12" t="n">
        <v>0</v>
      </c>
      <c r="F6" s="13" t="n">
        <v>2</v>
      </c>
      <c r="G6" s="13" t="n">
        <v>0</v>
      </c>
      <c r="H6" s="12" t="n">
        <v>4</v>
      </c>
      <c r="I6" s="13" t="n">
        <v>0</v>
      </c>
      <c r="J6" s="14" t="n">
        <v>0</v>
      </c>
      <c r="K6" s="13" t="n">
        <v>1</v>
      </c>
      <c r="L6" s="13" t="n">
        <v>2</v>
      </c>
      <c r="M6" s="14" t="n">
        <v>0</v>
      </c>
      <c r="N6" s="13" t="n">
        <v>0</v>
      </c>
      <c r="O6" s="13" t="n">
        <v>0</v>
      </c>
      <c r="P6" s="14" t="n">
        <v>0</v>
      </c>
      <c r="Q6" s="15" t="n">
        <f aca="false">B6+E6+H6+K6+N6</f>
        <v>7</v>
      </c>
      <c r="R6" s="15" t="n">
        <f aca="false">C6+F6+I6+L6+O6</f>
        <v>5</v>
      </c>
      <c r="S6" s="16" t="n">
        <f aca="false">D6+G6+J6+M6+P6</f>
        <v>0</v>
      </c>
    </row>
    <row r="7" customFormat="false" ht="15" hidden="false" customHeight="false" outlineLevel="0" collapsed="false">
      <c r="A7" s="11" t="n">
        <v>46058</v>
      </c>
      <c r="B7" s="12" t="n">
        <v>1</v>
      </c>
      <c r="C7" s="13" t="n">
        <v>1</v>
      </c>
      <c r="D7" s="13" t="n">
        <v>0</v>
      </c>
      <c r="E7" s="12" t="n">
        <v>0</v>
      </c>
      <c r="F7" s="13" t="n">
        <v>0</v>
      </c>
      <c r="G7" s="13" t="n">
        <v>0</v>
      </c>
      <c r="H7" s="12" t="n">
        <v>3</v>
      </c>
      <c r="I7" s="13" t="n">
        <v>3</v>
      </c>
      <c r="J7" s="14" t="n">
        <v>0</v>
      </c>
      <c r="K7" s="13" t="n">
        <v>1</v>
      </c>
      <c r="L7" s="13" t="n">
        <v>2</v>
      </c>
      <c r="M7" s="14" t="n">
        <v>0</v>
      </c>
      <c r="N7" s="13" t="n">
        <v>1</v>
      </c>
      <c r="O7" s="13" t="n">
        <v>0</v>
      </c>
      <c r="P7" s="14" t="n">
        <v>0</v>
      </c>
      <c r="Q7" s="15" t="n">
        <f aca="false">B7+E7+H7+K7+N7</f>
        <v>6</v>
      </c>
      <c r="R7" s="15" t="n">
        <f aca="false">C7+F7+I7+L7+O7</f>
        <v>6</v>
      </c>
      <c r="S7" s="16" t="n">
        <f aca="false">D7+G7+J7+M7+P7</f>
        <v>0</v>
      </c>
    </row>
    <row r="8" customFormat="false" ht="15" hidden="false" customHeight="false" outlineLevel="0" collapsed="false">
      <c r="A8" s="11" t="n">
        <v>46059</v>
      </c>
      <c r="B8" s="12" t="n">
        <v>0</v>
      </c>
      <c r="C8" s="13" t="n">
        <v>1</v>
      </c>
      <c r="D8" s="13" t="n">
        <v>0</v>
      </c>
      <c r="E8" s="12" t="n">
        <v>0</v>
      </c>
      <c r="F8" s="13" t="n">
        <v>0</v>
      </c>
      <c r="G8" s="13" t="n">
        <v>0</v>
      </c>
      <c r="H8" s="12" t="n">
        <v>1</v>
      </c>
      <c r="I8" s="13" t="n">
        <v>2</v>
      </c>
      <c r="J8" s="14" t="n">
        <v>0</v>
      </c>
      <c r="K8" s="13" t="n">
        <v>4</v>
      </c>
      <c r="L8" s="13" t="n">
        <v>3</v>
      </c>
      <c r="M8" s="14" t="n">
        <v>0</v>
      </c>
      <c r="N8" s="13" t="n">
        <v>2</v>
      </c>
      <c r="O8" s="13" t="n">
        <v>2</v>
      </c>
      <c r="P8" s="14" t="n">
        <v>0</v>
      </c>
      <c r="Q8" s="15" t="n">
        <f aca="false">B8+E8+H8+K8+N8</f>
        <v>7</v>
      </c>
      <c r="R8" s="15" t="n">
        <f aca="false">C8+F8+I8+L8+O8</f>
        <v>8</v>
      </c>
      <c r="S8" s="16" t="n">
        <f aca="false">D8+G8+J8+M8+P8</f>
        <v>0</v>
      </c>
    </row>
    <row r="9" customFormat="false" ht="15" hidden="false" customHeight="false" outlineLevel="0" collapsed="false">
      <c r="A9" s="11" t="n">
        <v>46060</v>
      </c>
      <c r="B9" s="12" t="n">
        <v>0</v>
      </c>
      <c r="C9" s="13" t="n">
        <v>2</v>
      </c>
      <c r="D9" s="13" t="n">
        <v>0</v>
      </c>
      <c r="E9" s="12" t="n">
        <v>3</v>
      </c>
      <c r="F9" s="13" t="n">
        <v>0</v>
      </c>
      <c r="G9" s="13" t="n">
        <v>0</v>
      </c>
      <c r="H9" s="12" t="n">
        <v>1</v>
      </c>
      <c r="I9" s="13" t="n">
        <v>0</v>
      </c>
      <c r="J9" s="14" t="n">
        <v>0</v>
      </c>
      <c r="K9" s="13" t="n">
        <v>1</v>
      </c>
      <c r="L9" s="13" t="n">
        <v>1</v>
      </c>
      <c r="M9" s="14" t="n">
        <v>0</v>
      </c>
      <c r="N9" s="13" t="n">
        <v>1</v>
      </c>
      <c r="O9" s="13" t="n">
        <v>0</v>
      </c>
      <c r="P9" s="14" t="n">
        <v>0</v>
      </c>
      <c r="Q9" s="15" t="n">
        <f aca="false">B9+E9+H9+K9+N9</f>
        <v>6</v>
      </c>
      <c r="R9" s="15" t="n">
        <f aca="false">C9+F9+I9+L9+O9</f>
        <v>3</v>
      </c>
      <c r="S9" s="16" t="n">
        <f aca="false">D9+G9+J9+M9+P9</f>
        <v>0</v>
      </c>
    </row>
    <row r="10" customFormat="false" ht="15" hidden="false" customHeight="false" outlineLevel="0" collapsed="false">
      <c r="A10" s="11" t="n">
        <v>46061</v>
      </c>
      <c r="B10" s="12"/>
      <c r="C10" s="13"/>
      <c r="D10" s="13"/>
      <c r="E10" s="12"/>
      <c r="F10" s="13"/>
      <c r="G10" s="13"/>
      <c r="H10" s="12"/>
      <c r="I10" s="13"/>
      <c r="J10" s="14"/>
      <c r="K10" s="13"/>
      <c r="L10" s="13"/>
      <c r="M10" s="14"/>
      <c r="N10" s="13"/>
      <c r="O10" s="13"/>
      <c r="P10" s="14"/>
      <c r="Q10" s="15" t="n">
        <f aca="false">B10+E10+H10+K10+N10</f>
        <v>0</v>
      </c>
      <c r="R10" s="15" t="n">
        <f aca="false">C10+F10+I10+L10+O10</f>
        <v>0</v>
      </c>
      <c r="S10" s="16" t="n">
        <f aca="false">D10+G10+J10+M10+P10</f>
        <v>0</v>
      </c>
    </row>
    <row r="11" customFormat="false" ht="15" hidden="false" customHeight="false" outlineLevel="0" collapsed="false">
      <c r="A11" s="11" t="n">
        <v>46062</v>
      </c>
      <c r="B11" s="12"/>
      <c r="C11" s="13"/>
      <c r="D11" s="13"/>
      <c r="E11" s="12"/>
      <c r="F11" s="13"/>
      <c r="G11" s="13"/>
      <c r="H11" s="12"/>
      <c r="I11" s="13"/>
      <c r="J11" s="14"/>
      <c r="K11" s="13"/>
      <c r="L11" s="13"/>
      <c r="M11" s="14"/>
      <c r="N11" s="13"/>
      <c r="O11" s="13"/>
      <c r="P11" s="14"/>
      <c r="Q11" s="15" t="n">
        <f aca="false">B11+E11+H11+K11+N11</f>
        <v>0</v>
      </c>
      <c r="R11" s="15" t="n">
        <f aca="false">C11+F11+I11+L11+O11</f>
        <v>0</v>
      </c>
      <c r="S11" s="16" t="n">
        <f aca="false">D11+G11+J11+M11+P11</f>
        <v>0</v>
      </c>
    </row>
    <row r="12" customFormat="false" ht="15" hidden="false" customHeight="false" outlineLevel="0" collapsed="false">
      <c r="A12" s="11" t="n">
        <v>46063</v>
      </c>
      <c r="B12" s="12" t="n">
        <v>2</v>
      </c>
      <c r="C12" s="13" t="n">
        <v>1</v>
      </c>
      <c r="D12" s="13" t="n">
        <v>0</v>
      </c>
      <c r="E12" s="12" t="n">
        <v>5</v>
      </c>
      <c r="F12" s="13" t="n">
        <v>4</v>
      </c>
      <c r="G12" s="13" t="n">
        <v>0</v>
      </c>
      <c r="H12" s="12" t="n">
        <v>1</v>
      </c>
      <c r="I12" s="13" t="n">
        <v>0</v>
      </c>
      <c r="J12" s="14" t="n">
        <v>0</v>
      </c>
      <c r="K12" s="13"/>
      <c r="L12" s="13"/>
      <c r="M12" s="14"/>
      <c r="N12" s="13" t="n">
        <v>1</v>
      </c>
      <c r="O12" s="13" t="n">
        <v>0</v>
      </c>
      <c r="P12" s="31" t="n">
        <v>0</v>
      </c>
      <c r="Q12" s="15" t="n">
        <f aca="false">B12+E12+H12+K12+N12</f>
        <v>9</v>
      </c>
      <c r="R12" s="15" t="n">
        <f aca="false">C12+F12+I12+L12+O12</f>
        <v>5</v>
      </c>
      <c r="S12" s="16" t="n">
        <f aca="false">D12+G12+J12+M12+P12</f>
        <v>0</v>
      </c>
    </row>
    <row r="13" customFormat="false" ht="15" hidden="false" customHeight="false" outlineLevel="0" collapsed="false">
      <c r="A13" s="11" t="n">
        <v>46064</v>
      </c>
      <c r="B13" s="12" t="n">
        <v>1</v>
      </c>
      <c r="C13" s="13" t="n">
        <v>0</v>
      </c>
      <c r="D13" s="13" t="n">
        <v>0</v>
      </c>
      <c r="E13" s="12" t="n">
        <v>3</v>
      </c>
      <c r="F13" s="13" t="n">
        <v>0</v>
      </c>
      <c r="G13" s="13" t="n">
        <v>0</v>
      </c>
      <c r="H13" s="12" t="n">
        <v>1</v>
      </c>
      <c r="I13" s="13" t="n">
        <v>0</v>
      </c>
      <c r="J13" s="14" t="n">
        <v>0</v>
      </c>
      <c r="K13" s="13"/>
      <c r="L13" s="13"/>
      <c r="M13" s="14"/>
      <c r="N13" s="13" t="n">
        <v>1</v>
      </c>
      <c r="O13" s="13" t="n">
        <v>0</v>
      </c>
      <c r="P13" s="31" t="n">
        <v>0</v>
      </c>
      <c r="Q13" s="15" t="n">
        <f aca="false">B13+E13+H13+K13+N13</f>
        <v>6</v>
      </c>
      <c r="R13" s="15" t="n">
        <f aca="false">C13+F13+I13+L13+O13</f>
        <v>0</v>
      </c>
      <c r="S13" s="16" t="n">
        <f aca="false">D13+G13+J13+M13+P13</f>
        <v>0</v>
      </c>
    </row>
    <row r="14" customFormat="false" ht="15" hidden="false" customHeight="false" outlineLevel="0" collapsed="false">
      <c r="A14" s="11" t="n">
        <v>46065</v>
      </c>
      <c r="B14" s="12"/>
      <c r="C14" s="13"/>
      <c r="D14" s="13"/>
      <c r="E14" s="12"/>
      <c r="F14" s="13"/>
      <c r="G14" s="13"/>
      <c r="H14" s="12" t="n">
        <v>2</v>
      </c>
      <c r="I14" s="13" t="n">
        <v>0</v>
      </c>
      <c r="J14" s="14" t="n">
        <v>0</v>
      </c>
      <c r="K14" s="13" t="n">
        <v>3</v>
      </c>
      <c r="L14" s="13" t="n">
        <v>2</v>
      </c>
      <c r="M14" s="14" t="n">
        <v>0</v>
      </c>
      <c r="N14" s="13"/>
      <c r="O14" s="13"/>
      <c r="P14" s="14"/>
      <c r="Q14" s="15" t="n">
        <f aca="false">B14+E14+H14+K14+N14</f>
        <v>5</v>
      </c>
      <c r="R14" s="15" t="n">
        <f aca="false">C14+F14+I14+L14+O14</f>
        <v>2</v>
      </c>
      <c r="S14" s="16" t="n">
        <f aca="false">D14+G14+J14+M14+P14</f>
        <v>0</v>
      </c>
    </row>
    <row r="15" customFormat="false" ht="15" hidden="false" customHeight="false" outlineLevel="0" collapsed="false">
      <c r="A15" s="11" t="n">
        <v>46066</v>
      </c>
      <c r="B15" s="12"/>
      <c r="C15" s="13"/>
      <c r="D15" s="13"/>
      <c r="E15" s="12"/>
      <c r="F15" s="13"/>
      <c r="G15" s="13"/>
      <c r="H15" s="12" t="n">
        <v>3</v>
      </c>
      <c r="I15" s="13" t="n">
        <v>3</v>
      </c>
      <c r="J15" s="14" t="n">
        <v>0</v>
      </c>
      <c r="K15" s="13" t="n">
        <v>7</v>
      </c>
      <c r="L15" s="13" t="n">
        <v>0</v>
      </c>
      <c r="M15" s="14" t="n">
        <v>0</v>
      </c>
      <c r="N15" s="13"/>
      <c r="O15" s="13"/>
      <c r="P15" s="14"/>
      <c r="Q15" s="15" t="n">
        <f aca="false">B15+E15+H15+K15+N15</f>
        <v>10</v>
      </c>
      <c r="R15" s="15" t="n">
        <f aca="false">C15+F15+I15+L15+O15</f>
        <v>3</v>
      </c>
      <c r="S15" s="16" t="n">
        <f aca="false">D15+G15+J15+M15+P15</f>
        <v>0</v>
      </c>
    </row>
    <row r="16" customFormat="false" ht="15" hidden="false" customHeight="false" outlineLevel="0" collapsed="false">
      <c r="A16" s="11" t="n">
        <v>46067</v>
      </c>
      <c r="B16" s="12"/>
      <c r="C16" s="13"/>
      <c r="D16" s="13"/>
      <c r="E16" s="12"/>
      <c r="F16" s="13"/>
      <c r="G16" s="13"/>
      <c r="H16" s="12" t="n">
        <v>3</v>
      </c>
      <c r="I16" s="13" t="n">
        <v>1</v>
      </c>
      <c r="J16" s="14" t="n">
        <v>0</v>
      </c>
      <c r="K16" s="13" t="n">
        <v>3</v>
      </c>
      <c r="L16" s="13" t="n">
        <v>3</v>
      </c>
      <c r="M16" s="14" t="n">
        <v>0</v>
      </c>
      <c r="N16" s="13" t="n">
        <v>3</v>
      </c>
      <c r="O16" s="13" t="n">
        <v>0</v>
      </c>
      <c r="P16" s="14" t="n">
        <v>0</v>
      </c>
      <c r="Q16" s="15" t="n">
        <f aca="false">B16+E16+H16+K16+N16</f>
        <v>9</v>
      </c>
      <c r="R16" s="15" t="n">
        <f aca="false">C16+F16+I16+L16+O16</f>
        <v>4</v>
      </c>
      <c r="S16" s="16" t="n">
        <f aca="false">D16+G16+J16+M16+P16</f>
        <v>0</v>
      </c>
    </row>
    <row r="17" customFormat="false" ht="15" hidden="false" customHeight="false" outlineLevel="0" collapsed="false">
      <c r="A17" s="11" t="n">
        <v>46068</v>
      </c>
      <c r="B17" s="12"/>
      <c r="C17" s="13"/>
      <c r="D17" s="13"/>
      <c r="E17" s="12"/>
      <c r="F17" s="13"/>
      <c r="G17" s="13"/>
      <c r="H17" s="12"/>
      <c r="I17" s="13"/>
      <c r="J17" s="14"/>
      <c r="K17" s="13"/>
      <c r="L17" s="13"/>
      <c r="M17" s="14"/>
      <c r="N17" s="13"/>
      <c r="O17" s="13"/>
      <c r="P17" s="14"/>
      <c r="Q17" s="15" t="n">
        <f aca="false">B17+E17+H17+K17+N17</f>
        <v>0</v>
      </c>
      <c r="R17" s="15" t="n">
        <f aca="false">C17+F17+I17+L17+O17</f>
        <v>0</v>
      </c>
      <c r="S17" s="16" t="n">
        <f aca="false">D17+G17+J17+M17+P17</f>
        <v>0</v>
      </c>
    </row>
    <row r="18" customFormat="false" ht="15" hidden="false" customHeight="false" outlineLevel="0" collapsed="false">
      <c r="A18" s="11" t="n">
        <v>46069</v>
      </c>
      <c r="B18" s="12"/>
      <c r="C18" s="13"/>
      <c r="D18" s="13"/>
      <c r="E18" s="12"/>
      <c r="F18" s="13"/>
      <c r="G18" s="13"/>
      <c r="H18" s="12"/>
      <c r="I18" s="13"/>
      <c r="J18" s="14"/>
      <c r="M18" s="14"/>
      <c r="N18" s="13"/>
      <c r="O18" s="13"/>
      <c r="P18" s="14"/>
      <c r="Q18" s="15" t="n">
        <f aca="false">B18+E18+H18+K18+N18</f>
        <v>0</v>
      </c>
      <c r="R18" s="15" t="n">
        <f aca="false">C18+F18+I18+L18+O18</f>
        <v>0</v>
      </c>
      <c r="S18" s="16" t="n">
        <f aca="false">D18+G18+J18+M18+P18</f>
        <v>0</v>
      </c>
    </row>
    <row r="19" customFormat="false" ht="15" hidden="false" customHeight="false" outlineLevel="0" collapsed="false">
      <c r="A19" s="11" t="n">
        <v>46070</v>
      </c>
      <c r="B19" s="12"/>
      <c r="C19" s="13"/>
      <c r="D19" s="13"/>
      <c r="E19" s="12"/>
      <c r="F19" s="13"/>
      <c r="G19" s="13"/>
      <c r="H19" s="12"/>
      <c r="I19" s="13"/>
      <c r="J19" s="14"/>
      <c r="K19" s="13" t="n">
        <v>2</v>
      </c>
      <c r="L19" s="13" t="n">
        <v>1</v>
      </c>
      <c r="M19" s="14" t="n">
        <v>0</v>
      </c>
      <c r="N19" s="13" t="n">
        <v>3</v>
      </c>
      <c r="O19" s="13" t="n">
        <v>0</v>
      </c>
      <c r="P19" s="14" t="n">
        <v>0</v>
      </c>
      <c r="Q19" s="15" t="n">
        <f aca="false">B19+E19+H19+K19+N19</f>
        <v>5</v>
      </c>
      <c r="R19" s="15" t="n">
        <f aca="false">C19+F19+I19+L19+O19</f>
        <v>1</v>
      </c>
      <c r="S19" s="16" t="n">
        <f aca="false">D19+G19+J19+M19+P19</f>
        <v>0</v>
      </c>
    </row>
    <row r="20" customFormat="false" ht="15" hidden="false" customHeight="false" outlineLevel="0" collapsed="false">
      <c r="A20" s="11" t="n">
        <v>46071</v>
      </c>
      <c r="B20" s="12"/>
      <c r="C20" s="13"/>
      <c r="D20" s="13"/>
      <c r="E20" s="12"/>
      <c r="F20" s="13"/>
      <c r="G20" s="13"/>
      <c r="H20" s="12"/>
      <c r="I20" s="13"/>
      <c r="J20" s="14"/>
      <c r="K20" s="13"/>
      <c r="L20" s="13"/>
      <c r="M20" s="14"/>
      <c r="N20" s="13"/>
      <c r="O20" s="13"/>
      <c r="P20" s="14"/>
      <c r="Q20" s="15" t="n">
        <f aca="false">B20+E20+H20+K20+N20</f>
        <v>0</v>
      </c>
      <c r="R20" s="15" t="n">
        <f aca="false">C20+F20+I20+L20+O20</f>
        <v>0</v>
      </c>
      <c r="S20" s="16" t="n">
        <f aca="false">D20+G20+J20+M20+P20</f>
        <v>0</v>
      </c>
    </row>
    <row r="21" customFormat="false" ht="15" hidden="false" customHeight="false" outlineLevel="0" collapsed="false">
      <c r="A21" s="11" t="n">
        <v>46072</v>
      </c>
      <c r="B21" s="12"/>
      <c r="C21" s="13"/>
      <c r="D21" s="13"/>
      <c r="E21" s="12"/>
      <c r="F21" s="13"/>
      <c r="G21" s="13"/>
      <c r="H21" s="12"/>
      <c r="I21" s="13"/>
      <c r="J21" s="14"/>
      <c r="K21" s="13"/>
      <c r="L21" s="13"/>
      <c r="M21" s="14"/>
      <c r="N21" s="13"/>
      <c r="O21" s="13"/>
      <c r="P21" s="14"/>
      <c r="Q21" s="15" t="n">
        <f aca="false">B21+E21+H21+K21+N21</f>
        <v>0</v>
      </c>
      <c r="R21" s="15" t="n">
        <f aca="false">C21+F21+I21+L21+O21</f>
        <v>0</v>
      </c>
      <c r="S21" s="16" t="n">
        <f aca="false">D21+G21+J21+M21+P21</f>
        <v>0</v>
      </c>
    </row>
    <row r="22" customFormat="false" ht="15" hidden="false" customHeight="false" outlineLevel="0" collapsed="false">
      <c r="A22" s="11" t="n">
        <v>46073</v>
      </c>
      <c r="B22" s="12"/>
      <c r="C22" s="13"/>
      <c r="D22" s="13"/>
      <c r="E22" s="12"/>
      <c r="F22" s="13"/>
      <c r="G22" s="13"/>
      <c r="H22" s="12"/>
      <c r="I22" s="13"/>
      <c r="J22" s="14"/>
      <c r="K22" s="13"/>
      <c r="L22" s="13"/>
      <c r="M22" s="14"/>
      <c r="N22" s="13"/>
      <c r="O22" s="13"/>
      <c r="P22" s="14"/>
      <c r="Q22" s="15" t="n">
        <f aca="false">B22+E22+H22+K22+N22</f>
        <v>0</v>
      </c>
      <c r="R22" s="15" t="n">
        <f aca="false">C22+F22+I22+L22+O22</f>
        <v>0</v>
      </c>
      <c r="S22" s="16" t="n">
        <f aca="false">D22+G22+J22+M22+P22</f>
        <v>0</v>
      </c>
    </row>
    <row r="23" customFormat="false" ht="15" hidden="false" customHeight="false" outlineLevel="0" collapsed="false">
      <c r="A23" s="11" t="n">
        <v>46074</v>
      </c>
      <c r="B23" s="12"/>
      <c r="C23" s="13"/>
      <c r="D23" s="13"/>
      <c r="E23" s="12"/>
      <c r="F23" s="13"/>
      <c r="G23" s="13"/>
      <c r="H23" s="12"/>
      <c r="I23" s="13"/>
      <c r="J23" s="14"/>
      <c r="K23" s="13"/>
      <c r="L23" s="13"/>
      <c r="M23" s="14"/>
      <c r="N23" s="13"/>
      <c r="O23" s="13"/>
      <c r="P23" s="14"/>
      <c r="Q23" s="15" t="n">
        <f aca="false">B23+E23+H23+K23+N23</f>
        <v>0</v>
      </c>
      <c r="R23" s="15" t="n">
        <f aca="false">C23+F23+I23+L23+O23</f>
        <v>0</v>
      </c>
      <c r="S23" s="16" t="n">
        <f aca="false">D23+G23+J23+M23+P23</f>
        <v>0</v>
      </c>
    </row>
    <row r="24" customFormat="false" ht="15" hidden="false" customHeight="false" outlineLevel="0" collapsed="false">
      <c r="A24" s="11" t="n">
        <v>46075</v>
      </c>
      <c r="B24" s="12"/>
      <c r="C24" s="13"/>
      <c r="D24" s="13"/>
      <c r="E24" s="12"/>
      <c r="F24" s="13"/>
      <c r="G24" s="13"/>
      <c r="H24" s="12"/>
      <c r="I24" s="13"/>
      <c r="J24" s="14"/>
      <c r="K24" s="13"/>
      <c r="L24" s="13"/>
      <c r="M24" s="14"/>
      <c r="N24" s="13"/>
      <c r="O24" s="13"/>
      <c r="P24" s="14"/>
      <c r="Q24" s="15" t="n">
        <f aca="false">B24+E24+H24+K24+N24</f>
        <v>0</v>
      </c>
      <c r="R24" s="15" t="n">
        <f aca="false">C24+F24+I24+L24+O24</f>
        <v>0</v>
      </c>
      <c r="S24" s="16" t="n">
        <f aca="false">D24+G24+J24+M24+P24</f>
        <v>0</v>
      </c>
    </row>
    <row r="25" customFormat="false" ht="15" hidden="false" customHeight="false" outlineLevel="0" collapsed="false">
      <c r="A25" s="11" t="n">
        <v>46076</v>
      </c>
      <c r="B25" s="12"/>
      <c r="C25" s="13"/>
      <c r="D25" s="13"/>
      <c r="E25" s="12"/>
      <c r="F25" s="13"/>
      <c r="G25" s="13"/>
      <c r="H25" s="12"/>
      <c r="I25" s="13"/>
      <c r="J25" s="14"/>
      <c r="K25" s="13"/>
      <c r="L25" s="13"/>
      <c r="M25" s="14"/>
      <c r="N25" s="13"/>
      <c r="O25" s="13"/>
      <c r="P25" s="14"/>
      <c r="Q25" s="15" t="n">
        <f aca="false">B25+E25+H25+K25+N25</f>
        <v>0</v>
      </c>
      <c r="R25" s="15" t="n">
        <f aca="false">C25+F25+I25+L25+O25</f>
        <v>0</v>
      </c>
      <c r="S25" s="16" t="n">
        <f aca="false">D25+G25+J25+M25+P25</f>
        <v>0</v>
      </c>
    </row>
    <row r="26" customFormat="false" ht="15" hidden="false" customHeight="false" outlineLevel="0" collapsed="false">
      <c r="A26" s="11" t="n">
        <v>46077</v>
      </c>
      <c r="B26" s="12"/>
      <c r="C26" s="13"/>
      <c r="D26" s="13"/>
      <c r="E26" s="12"/>
      <c r="F26" s="13"/>
      <c r="G26" s="13"/>
      <c r="H26" s="12"/>
      <c r="I26" s="13"/>
      <c r="J26" s="14"/>
      <c r="K26" s="15"/>
      <c r="L26" s="13"/>
      <c r="M26" s="14"/>
      <c r="N26" s="13"/>
      <c r="O26" s="13"/>
      <c r="P26" s="14"/>
      <c r="Q26" s="15" t="n">
        <f aca="false">B26+E26+H26+K26+N26</f>
        <v>0</v>
      </c>
      <c r="R26" s="15" t="n">
        <f aca="false">C26+F26+I26+L26+O26</f>
        <v>0</v>
      </c>
      <c r="S26" s="16" t="n">
        <f aca="false">D26+G26+J26+M26+P26</f>
        <v>0</v>
      </c>
    </row>
    <row r="27" customFormat="false" ht="15" hidden="false" customHeight="false" outlineLevel="0" collapsed="false">
      <c r="A27" s="11" t="n">
        <v>46078</v>
      </c>
      <c r="B27" s="12"/>
      <c r="C27" s="13"/>
      <c r="D27" s="13"/>
      <c r="E27" s="12"/>
      <c r="F27" s="13"/>
      <c r="G27" s="13"/>
      <c r="H27" s="12"/>
      <c r="I27" s="13"/>
      <c r="J27" s="14"/>
      <c r="K27" s="13"/>
      <c r="L27" s="13"/>
      <c r="M27" s="14"/>
      <c r="N27" s="13"/>
      <c r="O27" s="13"/>
      <c r="P27" s="14"/>
      <c r="Q27" s="15" t="n">
        <f aca="false">B27+E27+H27+K27+N27</f>
        <v>0</v>
      </c>
      <c r="R27" s="15" t="n">
        <f aca="false">C27+F27+I27+L27+O27</f>
        <v>0</v>
      </c>
      <c r="S27" s="16" t="n">
        <f aca="false">D27+G27+J27+M27+P27</f>
        <v>0</v>
      </c>
    </row>
    <row r="28" customFormat="false" ht="15" hidden="false" customHeight="false" outlineLevel="0" collapsed="false">
      <c r="A28" s="11" t="n">
        <v>46079</v>
      </c>
      <c r="B28" s="12"/>
      <c r="C28" s="13"/>
      <c r="D28" s="13"/>
      <c r="E28" s="12"/>
      <c r="F28" s="13"/>
      <c r="G28" s="13"/>
      <c r="H28" s="12"/>
      <c r="I28" s="13"/>
      <c r="J28" s="14"/>
      <c r="K28" s="13"/>
      <c r="L28" s="13"/>
      <c r="M28" s="14"/>
      <c r="N28" s="13"/>
      <c r="O28" s="13"/>
      <c r="P28" s="14"/>
      <c r="Q28" s="15" t="n">
        <f aca="false">B28+E28+H28+K28+N28</f>
        <v>0</v>
      </c>
      <c r="R28" s="15" t="n">
        <f aca="false">C28+F28+I28+L28+O28</f>
        <v>0</v>
      </c>
      <c r="S28" s="16" t="n">
        <f aca="false">D28+G28+J28+M28+P28</f>
        <v>0</v>
      </c>
    </row>
    <row r="29" customFormat="false" ht="15" hidden="false" customHeight="false" outlineLevel="0" collapsed="false">
      <c r="A29" s="11" t="n">
        <v>46080</v>
      </c>
      <c r="B29" s="12"/>
      <c r="C29" s="13"/>
      <c r="D29" s="13"/>
      <c r="E29" s="12"/>
      <c r="F29" s="13"/>
      <c r="G29" s="13"/>
      <c r="H29" s="12"/>
      <c r="I29" s="13"/>
      <c r="J29" s="14"/>
      <c r="K29" s="13"/>
      <c r="L29" s="13"/>
      <c r="M29" s="14"/>
      <c r="N29" s="13"/>
      <c r="O29" s="13"/>
      <c r="P29" s="14"/>
      <c r="Q29" s="15" t="n">
        <f aca="false">B29+E29+H29+K29+N29</f>
        <v>0</v>
      </c>
      <c r="R29" s="15" t="n">
        <f aca="false">C29+F29+I29+L29+O29</f>
        <v>0</v>
      </c>
      <c r="S29" s="16" t="n">
        <f aca="false">D29+G29+J29+M29+P29</f>
        <v>0</v>
      </c>
    </row>
    <row r="30" customFormat="false" ht="15" hidden="false" customHeight="false" outlineLevel="0" collapsed="false">
      <c r="A30" s="11" t="n">
        <v>46081</v>
      </c>
      <c r="B30" s="12"/>
      <c r="C30" s="13"/>
      <c r="D30" s="13"/>
      <c r="E30" s="12"/>
      <c r="F30" s="13"/>
      <c r="G30" s="13"/>
      <c r="H30" s="12"/>
      <c r="I30" s="13"/>
      <c r="J30" s="14"/>
      <c r="K30" s="13"/>
      <c r="L30" s="13"/>
      <c r="M30" s="14"/>
      <c r="N30" s="13"/>
      <c r="O30" s="13"/>
      <c r="P30" s="14"/>
      <c r="Q30" s="15" t="n">
        <f aca="false">B30+E30+H30+K30+N30</f>
        <v>0</v>
      </c>
      <c r="R30" s="15" t="n">
        <f aca="false">C30+F30+I30+L30+O30</f>
        <v>0</v>
      </c>
      <c r="S30" s="16" t="n">
        <f aca="false">D30+G30+J30+M30+P30</f>
        <v>0</v>
      </c>
    </row>
    <row r="31" customFormat="false" ht="15" hidden="false" customHeight="false" outlineLevel="0" collapsed="false">
      <c r="A31" s="11" t="n">
        <v>46082</v>
      </c>
      <c r="B31" s="12"/>
      <c r="C31" s="13"/>
      <c r="D31" s="13"/>
      <c r="E31" s="12"/>
      <c r="F31" s="13"/>
      <c r="G31" s="13"/>
      <c r="H31" s="12"/>
      <c r="I31" s="13"/>
      <c r="J31" s="14"/>
      <c r="K31" s="13"/>
      <c r="L31" s="13"/>
      <c r="M31" s="14"/>
      <c r="N31" s="13"/>
      <c r="O31" s="13"/>
      <c r="P31" s="14"/>
      <c r="Q31" s="15" t="n">
        <f aca="false">B31+E31+H31+K31+N31</f>
        <v>0</v>
      </c>
      <c r="R31" s="15" t="n">
        <f aca="false">C31+F31+I31+L31+O31</f>
        <v>0</v>
      </c>
      <c r="S31" s="16" t="n">
        <f aca="false">D31+G31+J31+M31+P31</f>
        <v>0</v>
      </c>
    </row>
    <row r="32" customFormat="false" ht="15" hidden="false" customHeight="false" outlineLevel="0" collapsed="false">
      <c r="A32" s="11" t="n">
        <v>46083</v>
      </c>
      <c r="B32" s="12"/>
      <c r="C32" s="13"/>
      <c r="D32" s="13"/>
      <c r="E32" s="12"/>
      <c r="F32" s="13"/>
      <c r="G32" s="13"/>
      <c r="H32" s="12"/>
      <c r="I32" s="13"/>
      <c r="J32" s="14"/>
      <c r="K32" s="13"/>
      <c r="L32" s="13"/>
      <c r="M32" s="14"/>
      <c r="N32" s="13"/>
      <c r="O32" s="13"/>
      <c r="P32" s="14"/>
      <c r="Q32" s="15" t="n">
        <f aca="false">B32+E32+H32+K32+N32</f>
        <v>0</v>
      </c>
      <c r="R32" s="15" t="n">
        <f aca="false">C32+F32+I32+L32+O32</f>
        <v>0</v>
      </c>
      <c r="S32" s="16" t="n">
        <f aca="false">D32+G32+J32+M32+P32</f>
        <v>0</v>
      </c>
    </row>
    <row r="33" customFormat="false" ht="15" hidden="false" customHeight="false" outlineLevel="0" collapsed="false">
      <c r="A33" s="19" t="n">
        <v>46084</v>
      </c>
      <c r="B33" s="13"/>
      <c r="C33" s="13"/>
      <c r="D33" s="18"/>
      <c r="E33" s="13"/>
      <c r="F33" s="13"/>
      <c r="G33" s="18"/>
      <c r="H33" s="13"/>
      <c r="I33" s="13"/>
      <c r="J33" s="14"/>
      <c r="K33" s="13"/>
      <c r="L33" s="13"/>
      <c r="M33" s="14"/>
      <c r="N33" s="13"/>
      <c r="O33" s="13"/>
      <c r="P33" s="14"/>
      <c r="Q33" s="15" t="n">
        <f aca="false">B33+E33+H33+K33+N33</f>
        <v>0</v>
      </c>
      <c r="R33" s="15" t="n">
        <f aca="false">C33+F33+I33+L33+O33</f>
        <v>0</v>
      </c>
      <c r="S33" s="16" t="n">
        <f aca="false">D33+G33+J33+M33+P33</f>
        <v>0</v>
      </c>
    </row>
    <row r="34" customFormat="false" ht="15" hidden="false" customHeight="false" outlineLevel="0" collapsed="false">
      <c r="A34" s="20" t="s">
        <v>10</v>
      </c>
      <c r="B34" s="21" t="n">
        <f aca="false">SUM(B3:B33)</f>
        <v>6</v>
      </c>
      <c r="C34" s="21" t="n">
        <f aca="false">SUM(C3:C33)</f>
        <v>6</v>
      </c>
      <c r="D34" s="21" t="n">
        <f aca="false">SUM(D3:D32)</f>
        <v>0</v>
      </c>
      <c r="E34" s="21" t="n">
        <f aca="false">SUM(E3:E33)</f>
        <v>13</v>
      </c>
      <c r="F34" s="21" t="n">
        <f aca="false">SUM(F3:F32)</f>
        <v>7</v>
      </c>
      <c r="G34" s="21" t="n">
        <f aca="false">SUM(G3:G32)</f>
        <v>0</v>
      </c>
      <c r="H34" s="21" t="n">
        <f aca="false">SUM(H3:H32)</f>
        <v>29</v>
      </c>
      <c r="I34" s="21" t="n">
        <f aca="false">SUM(I3:I32)</f>
        <v>9</v>
      </c>
      <c r="J34" s="21" t="n">
        <f aca="false">SUM(J3:J32)</f>
        <v>0</v>
      </c>
      <c r="K34" s="21" t="n">
        <f aca="false">SUM(K3:K33)</f>
        <v>27</v>
      </c>
      <c r="L34" s="21" t="n">
        <f aca="false">SUM(L3:L33)</f>
        <v>15</v>
      </c>
      <c r="M34" s="21" t="n">
        <f aca="false">SUM(M3:M32)</f>
        <v>0</v>
      </c>
      <c r="N34" s="21" t="n">
        <f aca="false">SUM(N3:N33)</f>
        <v>14</v>
      </c>
      <c r="O34" s="21" t="n">
        <f aca="false">SUM(O3:O33)</f>
        <v>2</v>
      </c>
      <c r="P34" s="21" t="n">
        <f aca="false">SUM(P3:P32)</f>
        <v>0</v>
      </c>
      <c r="Q34" s="21" t="n">
        <f aca="false">AVERAGE(Q3:Q33)</f>
        <v>2.87096774193548</v>
      </c>
      <c r="R34" s="21" t="n">
        <f aca="false">AVERAGE(R3:R33)</f>
        <v>1.25806451612903</v>
      </c>
      <c r="S34" s="21" t="n">
        <f aca="false">AVERAGE(S3:S33)</f>
        <v>0</v>
      </c>
    </row>
    <row r="35" customFormat="false" ht="15" hidden="false" customHeight="false" outlineLevel="0" collapsed="false">
      <c r="I35" s="22"/>
      <c r="Q35" s="32" t="s">
        <v>11</v>
      </c>
      <c r="R35" s="32"/>
      <c r="S35" s="32"/>
    </row>
    <row r="36" customFormat="false" ht="15" hidden="false" customHeight="false" outlineLevel="0" collapsed="false">
      <c r="I36" s="22"/>
      <c r="Q36" s="7" t="s">
        <v>7</v>
      </c>
      <c r="R36" s="7"/>
      <c r="S36" s="33" t="n">
        <f aca="false">B34+E34+H34+K34+N34</f>
        <v>89</v>
      </c>
    </row>
    <row r="37" customFormat="false" ht="15" hidden="false" customHeight="false" outlineLevel="0" collapsed="false">
      <c r="I37" s="22"/>
      <c r="Q37" s="27" t="s">
        <v>8</v>
      </c>
      <c r="R37" s="27"/>
      <c r="S37" s="33" t="n">
        <f aca="false">C34+F34+I34+L34+O34</f>
        <v>39</v>
      </c>
    </row>
    <row r="38" customFormat="false" ht="15" hidden="false" customHeight="false" outlineLevel="0" collapsed="false">
      <c r="I38" s="22"/>
      <c r="Q38" s="29" t="s">
        <v>9</v>
      </c>
      <c r="R38" s="29"/>
      <c r="S38" s="34" t="n">
        <f aca="false">D34+G34+J34+M34+P34</f>
        <v>0</v>
      </c>
    </row>
    <row r="39" customFormat="false" ht="15" hidden="false" customHeight="false" outlineLevel="0" collapsed="false">
      <c r="I39" s="22"/>
    </row>
    <row r="40" customFormat="false" ht="15" hidden="false" customHeight="false" outlineLevel="0" collapsed="false">
      <c r="I40" s="22"/>
    </row>
    <row r="41" customFormat="false" ht="15" hidden="false" customHeight="false" outlineLevel="0" collapsed="false">
      <c r="I41" s="22"/>
    </row>
    <row r="42" customFormat="false" ht="15" hidden="false" customHeight="false" outlineLevel="0" collapsed="false">
      <c r="I42" s="22"/>
    </row>
    <row r="43" customFormat="false" ht="15" hidden="false" customHeight="false" outlineLevel="0" collapsed="false">
      <c r="I43" s="22"/>
    </row>
    <row r="44" customFormat="false" ht="15" hidden="false" customHeight="false" outlineLevel="0" collapsed="false">
      <c r="I44" s="22"/>
    </row>
    <row r="45" customFormat="false" ht="15" hidden="false" customHeight="false" outlineLevel="0" collapsed="false">
      <c r="I45" s="22"/>
    </row>
    <row r="46" customFormat="false" ht="15" hidden="false" customHeight="false" outlineLevel="0" collapsed="false">
      <c r="I46" s="22"/>
    </row>
    <row r="47" customFormat="false" ht="15" hidden="false" customHeight="false" outlineLevel="0" collapsed="false">
      <c r="I47" s="22"/>
    </row>
    <row r="48" customFormat="false" ht="15" hidden="false" customHeight="false" outlineLevel="0" collapsed="false">
      <c r="I48" s="22"/>
    </row>
    <row r="49" customFormat="false" ht="15" hidden="false" customHeight="false" outlineLevel="0" collapsed="false">
      <c r="I49" s="22"/>
    </row>
    <row r="50" customFormat="false" ht="15" hidden="false" customHeight="false" outlineLevel="0" collapsed="false">
      <c r="I50" s="22"/>
    </row>
    <row r="51" customFormat="false" ht="15" hidden="false" customHeight="false" outlineLevel="0" collapsed="false">
      <c r="I51" s="22"/>
    </row>
    <row r="52" customFormat="false" ht="15" hidden="false" customHeight="false" outlineLevel="0" collapsed="false">
      <c r="I52" s="22"/>
    </row>
    <row r="53" customFormat="false" ht="15" hidden="false" customHeight="false" outlineLevel="0" collapsed="false">
      <c r="I53" s="22"/>
    </row>
    <row r="54" customFormat="false" ht="15" hidden="false" customHeight="false" outlineLevel="0" collapsed="false">
      <c r="I54" s="22"/>
    </row>
    <row r="55" customFormat="false" ht="15" hidden="false" customHeight="false" outlineLevel="0" collapsed="false">
      <c r="I55" s="22"/>
    </row>
    <row r="56" customFormat="false" ht="15" hidden="false" customHeight="false" outlineLevel="0" collapsed="false">
      <c r="I56" s="22"/>
    </row>
    <row r="57" customFormat="false" ht="15" hidden="false" customHeight="false" outlineLevel="0" collapsed="false">
      <c r="I57" s="22"/>
    </row>
    <row r="58" customFormat="false" ht="15" hidden="false" customHeight="false" outlineLevel="0" collapsed="false">
      <c r="I58" s="22"/>
    </row>
    <row r="59" customFormat="false" ht="15" hidden="false" customHeight="false" outlineLevel="0" collapsed="false">
      <c r="I59" s="22"/>
    </row>
    <row r="60" customFormat="false" ht="15" hidden="false" customHeight="false" outlineLevel="0" collapsed="false">
      <c r="I60" s="22"/>
    </row>
    <row r="61" customFormat="false" ht="15" hidden="false" customHeight="false" outlineLevel="0" collapsed="false">
      <c r="I61" s="22"/>
    </row>
    <row r="62" customFormat="false" ht="15" hidden="false" customHeight="false" outlineLevel="0" collapsed="false">
      <c r="I62" s="22"/>
    </row>
    <row r="63" customFormat="false" ht="15" hidden="false" customHeight="false" outlineLevel="0" collapsed="false">
      <c r="I63" s="22"/>
    </row>
    <row r="64" customFormat="false" ht="15" hidden="false" customHeight="false" outlineLevel="0" collapsed="false">
      <c r="I64" s="22"/>
    </row>
    <row r="65" customFormat="false" ht="15" hidden="false" customHeight="false" outlineLevel="0" collapsed="false">
      <c r="I65" s="22"/>
    </row>
    <row r="66" customFormat="false" ht="15" hidden="false" customHeight="false" outlineLevel="0" collapsed="false">
      <c r="I66" s="22"/>
    </row>
    <row r="67" customFormat="false" ht="15" hidden="false" customHeight="false" outlineLevel="0" collapsed="false">
      <c r="I67" s="22"/>
    </row>
    <row r="68" customFormat="false" ht="15" hidden="false" customHeight="false" outlineLevel="0" collapsed="false">
      <c r="I68" s="22"/>
    </row>
    <row r="69" customFormat="false" ht="15" hidden="false" customHeight="false" outlineLevel="0" collapsed="false">
      <c r="I69" s="22"/>
    </row>
    <row r="70" customFormat="false" ht="15" hidden="false" customHeight="false" outlineLevel="0" collapsed="false">
      <c r="I70" s="22"/>
    </row>
    <row r="71" customFormat="false" ht="15" hidden="false" customHeight="false" outlineLevel="0" collapsed="false">
      <c r="I71" s="22"/>
    </row>
    <row r="72" customFormat="false" ht="15" hidden="false" customHeight="false" outlineLevel="0" collapsed="false">
      <c r="I72" s="22"/>
    </row>
    <row r="73" customFormat="false" ht="15" hidden="false" customHeight="false" outlineLevel="0" collapsed="false">
      <c r="I73" s="22"/>
    </row>
    <row r="74" customFormat="false" ht="15" hidden="false" customHeight="false" outlineLevel="0" collapsed="false">
      <c r="I74" s="22"/>
    </row>
    <row r="75" customFormat="false" ht="15" hidden="false" customHeight="false" outlineLevel="0" collapsed="false">
      <c r="I75" s="22"/>
    </row>
    <row r="76" customFormat="false" ht="15" hidden="false" customHeight="false" outlineLevel="0" collapsed="false">
      <c r="I76" s="22"/>
    </row>
    <row r="77" customFormat="false" ht="15" hidden="false" customHeight="false" outlineLevel="0" collapsed="false">
      <c r="I77" s="22"/>
    </row>
    <row r="78" customFormat="false" ht="15" hidden="false" customHeight="false" outlineLevel="0" collapsed="false">
      <c r="I78" s="22"/>
    </row>
    <row r="79" customFormat="false" ht="15" hidden="false" customHeight="false" outlineLevel="0" collapsed="false">
      <c r="I79" s="22"/>
    </row>
    <row r="80" customFormat="false" ht="15" hidden="false" customHeight="false" outlineLevel="0" collapsed="false">
      <c r="I80" s="22"/>
    </row>
    <row r="81" customFormat="false" ht="15" hidden="false" customHeight="false" outlineLevel="0" collapsed="false">
      <c r="I81" s="22"/>
    </row>
    <row r="82" customFormat="false" ht="15" hidden="false" customHeight="false" outlineLevel="0" collapsed="false">
      <c r="I82" s="22"/>
    </row>
    <row r="83" customFormat="false" ht="15" hidden="false" customHeight="false" outlineLevel="0" collapsed="false">
      <c r="I83" s="22"/>
    </row>
    <row r="84" customFormat="false" ht="15" hidden="false" customHeight="false" outlineLevel="0" collapsed="false">
      <c r="I84" s="22"/>
    </row>
    <row r="85" customFormat="false" ht="15" hidden="false" customHeight="false" outlineLevel="0" collapsed="false">
      <c r="I85" s="22"/>
    </row>
    <row r="86" customFormat="false" ht="15" hidden="false" customHeight="false" outlineLevel="0" collapsed="false">
      <c r="I86" s="22"/>
    </row>
    <row r="87" customFormat="false" ht="15" hidden="false" customHeight="false" outlineLevel="0" collapsed="false">
      <c r="I87" s="22"/>
    </row>
    <row r="88" customFormat="false" ht="15" hidden="false" customHeight="false" outlineLevel="0" collapsed="false">
      <c r="I88" s="22"/>
    </row>
    <row r="89" customFormat="false" ht="15" hidden="false" customHeight="false" outlineLevel="0" collapsed="false">
      <c r="I89" s="22"/>
    </row>
    <row r="90" customFormat="false" ht="15" hidden="false" customHeight="false" outlineLevel="0" collapsed="false">
      <c r="I90" s="22"/>
    </row>
    <row r="91" customFormat="false" ht="15" hidden="false" customHeight="false" outlineLevel="0" collapsed="false">
      <c r="I91" s="22"/>
    </row>
    <row r="92" customFormat="false" ht="15" hidden="false" customHeight="false" outlineLevel="0" collapsed="false">
      <c r="I92" s="22"/>
    </row>
    <row r="93" customFormat="false" ht="15" hidden="false" customHeight="false" outlineLevel="0" collapsed="false">
      <c r="I93" s="22"/>
    </row>
    <row r="94" customFormat="false" ht="15" hidden="false" customHeight="false" outlineLevel="0" collapsed="false">
      <c r="I94" s="22"/>
    </row>
    <row r="95" customFormat="false" ht="15" hidden="false" customHeight="false" outlineLevel="0" collapsed="false">
      <c r="I95" s="22"/>
    </row>
    <row r="96" customFormat="false" ht="15" hidden="false" customHeight="false" outlineLevel="0" collapsed="false">
      <c r="I96" s="22"/>
    </row>
    <row r="97" customFormat="false" ht="15" hidden="false" customHeight="false" outlineLevel="0" collapsed="false">
      <c r="I97" s="22"/>
    </row>
    <row r="98" customFormat="false" ht="15" hidden="false" customHeight="false" outlineLevel="0" collapsed="false">
      <c r="I98" s="22"/>
    </row>
    <row r="99" customFormat="false" ht="15" hidden="false" customHeight="false" outlineLevel="0" collapsed="false">
      <c r="I99" s="22"/>
    </row>
    <row r="100" customFormat="false" ht="15" hidden="false" customHeight="false" outlineLevel="0" collapsed="false">
      <c r="I100" s="22"/>
    </row>
    <row r="101" customFormat="false" ht="15" hidden="false" customHeight="false" outlineLevel="0" collapsed="false">
      <c r="I101" s="22"/>
    </row>
    <row r="102" customFormat="false" ht="15" hidden="false" customHeight="false" outlineLevel="0" collapsed="false">
      <c r="I102" s="22"/>
    </row>
    <row r="103" customFormat="false" ht="15" hidden="false" customHeight="false" outlineLevel="0" collapsed="false">
      <c r="I103" s="22"/>
    </row>
    <row r="104" customFormat="false" ht="15" hidden="false" customHeight="false" outlineLevel="0" collapsed="false">
      <c r="I104" s="22"/>
    </row>
    <row r="105" customFormat="false" ht="15" hidden="false" customHeight="false" outlineLevel="0" collapsed="false">
      <c r="I105" s="22"/>
    </row>
    <row r="106" customFormat="false" ht="15" hidden="false" customHeight="false" outlineLevel="0" collapsed="false">
      <c r="I106" s="22"/>
    </row>
    <row r="107" customFormat="false" ht="15" hidden="false" customHeight="false" outlineLevel="0" collapsed="false">
      <c r="I107" s="22"/>
    </row>
    <row r="108" customFormat="false" ht="15" hidden="false" customHeight="false" outlineLevel="0" collapsed="false">
      <c r="I108" s="22"/>
    </row>
    <row r="109" customFormat="false" ht="15" hidden="false" customHeight="false" outlineLevel="0" collapsed="false">
      <c r="I109" s="22"/>
    </row>
    <row r="110" customFormat="false" ht="15" hidden="false" customHeight="false" outlineLevel="0" collapsed="false">
      <c r="I110" s="22"/>
    </row>
    <row r="111" customFormat="false" ht="15" hidden="false" customHeight="false" outlineLevel="0" collapsed="false">
      <c r="I111" s="22"/>
    </row>
    <row r="112" customFormat="false" ht="15" hidden="false" customHeight="false" outlineLevel="0" collapsed="false">
      <c r="I112" s="22"/>
    </row>
    <row r="113" customFormat="false" ht="15" hidden="false" customHeight="false" outlineLevel="0" collapsed="false">
      <c r="I113" s="22"/>
    </row>
    <row r="114" customFormat="false" ht="15" hidden="false" customHeight="false" outlineLevel="0" collapsed="false">
      <c r="I114" s="22"/>
    </row>
    <row r="115" customFormat="false" ht="15" hidden="false" customHeight="false" outlineLevel="0" collapsed="false">
      <c r="I115" s="22"/>
    </row>
    <row r="116" customFormat="false" ht="15" hidden="false" customHeight="false" outlineLevel="0" collapsed="false">
      <c r="I116" s="22"/>
    </row>
    <row r="117" customFormat="false" ht="15" hidden="false" customHeight="false" outlineLevel="0" collapsed="false">
      <c r="I117" s="22"/>
    </row>
    <row r="118" customFormat="false" ht="15" hidden="false" customHeight="false" outlineLevel="0" collapsed="false">
      <c r="I118" s="22"/>
    </row>
    <row r="119" customFormat="false" ht="15" hidden="false" customHeight="false" outlineLevel="0" collapsed="false">
      <c r="I119" s="22"/>
    </row>
    <row r="120" customFormat="false" ht="15" hidden="false" customHeight="false" outlineLevel="0" collapsed="false">
      <c r="I120" s="22"/>
    </row>
    <row r="121" customFormat="false" ht="15" hidden="false" customHeight="false" outlineLevel="0" collapsed="false">
      <c r="I121" s="22"/>
    </row>
    <row r="122" customFormat="false" ht="15" hidden="false" customHeight="false" outlineLevel="0" collapsed="false">
      <c r="I122" s="22"/>
    </row>
    <row r="123" customFormat="false" ht="15" hidden="false" customHeight="false" outlineLevel="0" collapsed="false">
      <c r="I123" s="22"/>
    </row>
    <row r="124" customFormat="false" ht="15" hidden="false" customHeight="false" outlineLevel="0" collapsed="false">
      <c r="I124" s="22"/>
    </row>
    <row r="125" customFormat="false" ht="15" hidden="false" customHeight="false" outlineLevel="0" collapsed="false">
      <c r="I125" s="22"/>
    </row>
    <row r="126" customFormat="false" ht="15" hidden="false" customHeight="false" outlineLevel="0" collapsed="false">
      <c r="I126" s="22"/>
    </row>
    <row r="127" customFormat="false" ht="15" hidden="false" customHeight="false" outlineLevel="0" collapsed="false">
      <c r="I127" s="22"/>
    </row>
    <row r="128" customFormat="false" ht="15" hidden="false" customHeight="false" outlineLevel="0" collapsed="false">
      <c r="I128" s="22"/>
    </row>
    <row r="129" customFormat="false" ht="15" hidden="false" customHeight="false" outlineLevel="0" collapsed="false">
      <c r="I129" s="22"/>
    </row>
    <row r="130" customFormat="false" ht="15" hidden="false" customHeight="false" outlineLevel="0" collapsed="false">
      <c r="I130" s="22"/>
    </row>
    <row r="131" customFormat="false" ht="15" hidden="false" customHeight="false" outlineLevel="0" collapsed="false">
      <c r="I131" s="22"/>
    </row>
    <row r="132" customFormat="false" ht="15" hidden="false" customHeight="false" outlineLevel="0" collapsed="false">
      <c r="I132" s="22"/>
    </row>
    <row r="133" customFormat="false" ht="15" hidden="false" customHeight="false" outlineLevel="0" collapsed="false">
      <c r="I133" s="22"/>
    </row>
    <row r="134" customFormat="false" ht="15" hidden="false" customHeight="false" outlineLevel="0" collapsed="false">
      <c r="I134" s="22"/>
    </row>
    <row r="135" customFormat="false" ht="15" hidden="false" customHeight="false" outlineLevel="0" collapsed="false">
      <c r="I135" s="22"/>
    </row>
    <row r="136" customFormat="false" ht="15" hidden="false" customHeight="false" outlineLevel="0" collapsed="false">
      <c r="I136" s="22"/>
    </row>
    <row r="137" customFormat="false" ht="15" hidden="false" customHeight="false" outlineLevel="0" collapsed="false">
      <c r="I137" s="22"/>
    </row>
    <row r="138" customFormat="false" ht="15" hidden="false" customHeight="false" outlineLevel="0" collapsed="false">
      <c r="I138" s="22"/>
    </row>
    <row r="139" customFormat="false" ht="15" hidden="false" customHeight="false" outlineLevel="0" collapsed="false">
      <c r="I139" s="22"/>
    </row>
    <row r="140" customFormat="false" ht="15" hidden="false" customHeight="false" outlineLevel="0" collapsed="false">
      <c r="I140" s="22"/>
    </row>
    <row r="141" customFormat="false" ht="15" hidden="false" customHeight="false" outlineLevel="0" collapsed="false">
      <c r="I141" s="22"/>
    </row>
    <row r="142" customFormat="false" ht="15" hidden="false" customHeight="false" outlineLevel="0" collapsed="false">
      <c r="I142" s="22"/>
    </row>
    <row r="143" customFormat="false" ht="15" hidden="false" customHeight="false" outlineLevel="0" collapsed="false">
      <c r="I143" s="22"/>
    </row>
    <row r="144" customFormat="false" ht="15" hidden="false" customHeight="false" outlineLevel="0" collapsed="false">
      <c r="I144" s="22"/>
    </row>
    <row r="145" customFormat="false" ht="15" hidden="false" customHeight="false" outlineLevel="0" collapsed="false">
      <c r="I145" s="22"/>
    </row>
    <row r="146" customFormat="false" ht="15" hidden="false" customHeight="false" outlineLevel="0" collapsed="false">
      <c r="I146" s="22"/>
    </row>
    <row r="147" customFormat="false" ht="15" hidden="false" customHeight="false" outlineLevel="0" collapsed="false">
      <c r="I147" s="22"/>
    </row>
    <row r="148" customFormat="false" ht="15" hidden="false" customHeight="false" outlineLevel="0" collapsed="false">
      <c r="I148" s="22"/>
    </row>
    <row r="149" customFormat="false" ht="15" hidden="false" customHeight="false" outlineLevel="0" collapsed="false">
      <c r="I149" s="22"/>
    </row>
    <row r="150" customFormat="false" ht="15" hidden="false" customHeight="false" outlineLevel="0" collapsed="false">
      <c r="I150" s="22"/>
    </row>
    <row r="151" customFormat="false" ht="15" hidden="false" customHeight="false" outlineLevel="0" collapsed="false">
      <c r="I151" s="22"/>
    </row>
    <row r="152" customFormat="false" ht="15" hidden="false" customHeight="false" outlineLevel="0" collapsed="false">
      <c r="I152" s="22"/>
    </row>
    <row r="153" customFormat="false" ht="15" hidden="false" customHeight="false" outlineLevel="0" collapsed="false">
      <c r="I153" s="22"/>
    </row>
    <row r="154" customFormat="false" ht="15" hidden="false" customHeight="false" outlineLevel="0" collapsed="false">
      <c r="I154" s="22"/>
    </row>
    <row r="155" customFormat="false" ht="15" hidden="false" customHeight="false" outlineLevel="0" collapsed="false">
      <c r="I155" s="22"/>
    </row>
    <row r="156" customFormat="false" ht="15" hidden="false" customHeight="false" outlineLevel="0" collapsed="false">
      <c r="I156" s="22"/>
    </row>
    <row r="157" customFormat="false" ht="15" hidden="false" customHeight="false" outlineLevel="0" collapsed="false">
      <c r="I157" s="22"/>
    </row>
    <row r="158" customFormat="false" ht="15" hidden="false" customHeight="false" outlineLevel="0" collapsed="false">
      <c r="I158" s="22"/>
    </row>
    <row r="159" customFormat="false" ht="15" hidden="false" customHeight="false" outlineLevel="0" collapsed="false">
      <c r="I159" s="22"/>
    </row>
    <row r="160" customFormat="false" ht="15" hidden="false" customHeight="false" outlineLevel="0" collapsed="false">
      <c r="I160" s="22"/>
    </row>
    <row r="161" customFormat="false" ht="15" hidden="false" customHeight="false" outlineLevel="0" collapsed="false">
      <c r="I161" s="22"/>
    </row>
    <row r="162" customFormat="false" ht="15" hidden="false" customHeight="false" outlineLevel="0" collapsed="false">
      <c r="I162" s="22"/>
    </row>
    <row r="163" customFormat="false" ht="15" hidden="false" customHeight="false" outlineLevel="0" collapsed="false">
      <c r="I163" s="22"/>
    </row>
    <row r="164" customFormat="false" ht="15" hidden="false" customHeight="false" outlineLevel="0" collapsed="false">
      <c r="I164" s="22"/>
    </row>
    <row r="165" customFormat="false" ht="15" hidden="false" customHeight="false" outlineLevel="0" collapsed="false">
      <c r="I165" s="22"/>
    </row>
    <row r="166" customFormat="false" ht="15" hidden="false" customHeight="false" outlineLevel="0" collapsed="false">
      <c r="I166" s="22"/>
    </row>
    <row r="167" customFormat="false" ht="15" hidden="false" customHeight="false" outlineLevel="0" collapsed="false">
      <c r="I167" s="22"/>
    </row>
    <row r="168" customFormat="false" ht="15" hidden="false" customHeight="false" outlineLevel="0" collapsed="false">
      <c r="I168" s="22"/>
    </row>
    <row r="169" customFormat="false" ht="15" hidden="false" customHeight="false" outlineLevel="0" collapsed="false">
      <c r="I169" s="22"/>
    </row>
    <row r="170" customFormat="false" ht="15" hidden="false" customHeight="false" outlineLevel="0" collapsed="false">
      <c r="I170" s="22"/>
    </row>
    <row r="171" customFormat="false" ht="15" hidden="false" customHeight="false" outlineLevel="0" collapsed="false">
      <c r="I171" s="22"/>
    </row>
    <row r="172" customFormat="false" ht="15" hidden="false" customHeight="false" outlineLevel="0" collapsed="false">
      <c r="I172" s="22"/>
    </row>
    <row r="173" customFormat="false" ht="15" hidden="false" customHeight="false" outlineLevel="0" collapsed="false">
      <c r="I173" s="22"/>
    </row>
    <row r="174" customFormat="false" ht="15" hidden="false" customHeight="false" outlineLevel="0" collapsed="false">
      <c r="I174" s="22"/>
    </row>
    <row r="175" customFormat="false" ht="15" hidden="false" customHeight="false" outlineLevel="0" collapsed="false">
      <c r="I175" s="22"/>
    </row>
    <row r="176" customFormat="false" ht="15" hidden="false" customHeight="false" outlineLevel="0" collapsed="false">
      <c r="I176" s="22"/>
    </row>
    <row r="177" customFormat="false" ht="15" hidden="false" customHeight="false" outlineLevel="0" collapsed="false">
      <c r="I177" s="22"/>
    </row>
    <row r="178" customFormat="false" ht="15" hidden="false" customHeight="false" outlineLevel="0" collapsed="false">
      <c r="I178" s="22"/>
    </row>
    <row r="179" customFormat="false" ht="15" hidden="false" customHeight="false" outlineLevel="0" collapsed="false">
      <c r="I179" s="22"/>
    </row>
    <row r="180" customFormat="false" ht="15" hidden="false" customHeight="false" outlineLevel="0" collapsed="false">
      <c r="I180" s="22"/>
    </row>
    <row r="181" customFormat="false" ht="15" hidden="false" customHeight="false" outlineLevel="0" collapsed="false">
      <c r="I181" s="22"/>
    </row>
    <row r="182" customFormat="false" ht="15" hidden="false" customHeight="false" outlineLevel="0" collapsed="false">
      <c r="I182" s="22"/>
    </row>
    <row r="183" customFormat="false" ht="15" hidden="false" customHeight="false" outlineLevel="0" collapsed="false">
      <c r="I183" s="22"/>
    </row>
    <row r="184" customFormat="false" ht="15" hidden="false" customHeight="false" outlineLevel="0" collapsed="false">
      <c r="I184" s="22"/>
    </row>
    <row r="185" customFormat="false" ht="15" hidden="false" customHeight="false" outlineLevel="0" collapsed="false">
      <c r="I185" s="22"/>
    </row>
    <row r="186" customFormat="false" ht="15" hidden="false" customHeight="false" outlineLevel="0" collapsed="false">
      <c r="I186" s="22"/>
    </row>
    <row r="187" customFormat="false" ht="15" hidden="false" customHeight="false" outlineLevel="0" collapsed="false">
      <c r="I187" s="22"/>
    </row>
    <row r="188" customFormat="false" ht="15" hidden="false" customHeight="false" outlineLevel="0" collapsed="false">
      <c r="I188" s="22"/>
    </row>
    <row r="189" customFormat="false" ht="15" hidden="false" customHeight="false" outlineLevel="0" collapsed="false">
      <c r="I189" s="22"/>
    </row>
    <row r="190" customFormat="false" ht="15" hidden="false" customHeight="false" outlineLevel="0" collapsed="false">
      <c r="I190" s="22"/>
    </row>
    <row r="191" customFormat="false" ht="15" hidden="false" customHeight="false" outlineLevel="0" collapsed="false">
      <c r="I191" s="22"/>
    </row>
    <row r="192" customFormat="false" ht="15" hidden="false" customHeight="false" outlineLevel="0" collapsed="false">
      <c r="I192" s="22"/>
    </row>
    <row r="193" customFormat="false" ht="15" hidden="false" customHeight="false" outlineLevel="0" collapsed="false">
      <c r="I193" s="22"/>
    </row>
    <row r="194" customFormat="false" ht="15" hidden="false" customHeight="false" outlineLevel="0" collapsed="false">
      <c r="I194" s="22"/>
    </row>
    <row r="195" customFormat="false" ht="15" hidden="false" customHeight="false" outlineLevel="0" collapsed="false">
      <c r="I195" s="22"/>
    </row>
    <row r="196" customFormat="false" ht="15" hidden="false" customHeight="false" outlineLevel="0" collapsed="false">
      <c r="I196" s="22"/>
    </row>
    <row r="197" customFormat="false" ht="15" hidden="false" customHeight="false" outlineLevel="0" collapsed="false">
      <c r="I197" s="22"/>
    </row>
    <row r="198" customFormat="false" ht="15" hidden="false" customHeight="false" outlineLevel="0" collapsed="false">
      <c r="I198" s="22"/>
    </row>
    <row r="199" customFormat="false" ht="15" hidden="false" customHeight="false" outlineLevel="0" collapsed="false">
      <c r="I199" s="22"/>
    </row>
    <row r="200" customFormat="false" ht="15" hidden="false" customHeight="false" outlineLevel="0" collapsed="false">
      <c r="I200" s="22"/>
    </row>
    <row r="201" customFormat="false" ht="15" hidden="false" customHeight="false" outlineLevel="0" collapsed="false">
      <c r="I201" s="22"/>
    </row>
    <row r="202" customFormat="false" ht="15" hidden="false" customHeight="false" outlineLevel="0" collapsed="false">
      <c r="I202" s="22"/>
    </row>
    <row r="203" customFormat="false" ht="15" hidden="false" customHeight="false" outlineLevel="0" collapsed="false">
      <c r="I203" s="22"/>
    </row>
    <row r="204" customFormat="false" ht="15" hidden="false" customHeight="false" outlineLevel="0" collapsed="false">
      <c r="I204" s="22"/>
    </row>
    <row r="205" customFormat="false" ht="15" hidden="false" customHeight="false" outlineLevel="0" collapsed="false">
      <c r="I205" s="22"/>
    </row>
    <row r="206" customFormat="false" ht="15" hidden="false" customHeight="false" outlineLevel="0" collapsed="false">
      <c r="I206" s="22"/>
    </row>
    <row r="207" customFormat="false" ht="15" hidden="false" customHeight="false" outlineLevel="0" collapsed="false">
      <c r="I207" s="22"/>
    </row>
    <row r="208" customFormat="false" ht="15" hidden="false" customHeight="false" outlineLevel="0" collapsed="false">
      <c r="I208" s="22"/>
    </row>
    <row r="209" customFormat="false" ht="15" hidden="false" customHeight="false" outlineLevel="0" collapsed="false">
      <c r="I209" s="22"/>
    </row>
    <row r="210" customFormat="false" ht="15" hidden="false" customHeight="false" outlineLevel="0" collapsed="false">
      <c r="I210" s="22"/>
    </row>
    <row r="211" customFormat="false" ht="15" hidden="false" customHeight="false" outlineLevel="0" collapsed="false">
      <c r="I211" s="22"/>
    </row>
    <row r="212" customFormat="false" ht="15" hidden="false" customHeight="false" outlineLevel="0" collapsed="false">
      <c r="I212" s="22"/>
    </row>
    <row r="213" customFormat="false" ht="15" hidden="false" customHeight="false" outlineLevel="0" collapsed="false">
      <c r="I213" s="22"/>
    </row>
    <row r="214" customFormat="false" ht="15" hidden="false" customHeight="false" outlineLevel="0" collapsed="false">
      <c r="I214" s="22"/>
    </row>
    <row r="215" customFormat="false" ht="15" hidden="false" customHeight="false" outlineLevel="0" collapsed="false">
      <c r="I215" s="22"/>
    </row>
    <row r="216" customFormat="false" ht="15" hidden="false" customHeight="false" outlineLevel="0" collapsed="false">
      <c r="I216" s="22"/>
    </row>
    <row r="217" customFormat="false" ht="15" hidden="false" customHeight="false" outlineLevel="0" collapsed="false">
      <c r="I217" s="22"/>
    </row>
    <row r="218" customFormat="false" ht="15" hidden="false" customHeight="false" outlineLevel="0" collapsed="false">
      <c r="I218" s="22"/>
    </row>
    <row r="219" customFormat="false" ht="15" hidden="false" customHeight="false" outlineLevel="0" collapsed="false">
      <c r="I219" s="22"/>
    </row>
    <row r="220" customFormat="false" ht="15" hidden="false" customHeight="false" outlineLevel="0" collapsed="false">
      <c r="I220" s="22"/>
    </row>
    <row r="221" customFormat="false" ht="15" hidden="false" customHeight="false" outlineLevel="0" collapsed="false">
      <c r="I221" s="22"/>
    </row>
    <row r="222" customFormat="false" ht="15" hidden="false" customHeight="false" outlineLevel="0" collapsed="false">
      <c r="I222" s="22"/>
    </row>
    <row r="223" customFormat="false" ht="15" hidden="false" customHeight="false" outlineLevel="0" collapsed="false">
      <c r="I223" s="22"/>
    </row>
    <row r="224" customFormat="false" ht="15" hidden="false" customHeight="false" outlineLevel="0" collapsed="false">
      <c r="I224" s="22"/>
    </row>
    <row r="225" customFormat="false" ht="15" hidden="false" customHeight="false" outlineLevel="0" collapsed="false">
      <c r="I225" s="22"/>
    </row>
    <row r="226" customFormat="false" ht="15" hidden="false" customHeight="false" outlineLevel="0" collapsed="false">
      <c r="I226" s="22"/>
    </row>
    <row r="227" customFormat="false" ht="15" hidden="false" customHeight="false" outlineLevel="0" collapsed="false">
      <c r="I227" s="22"/>
    </row>
    <row r="228" customFormat="false" ht="15" hidden="false" customHeight="false" outlineLevel="0" collapsed="false">
      <c r="I228" s="22"/>
    </row>
    <row r="229" customFormat="false" ht="15" hidden="false" customHeight="false" outlineLevel="0" collapsed="false">
      <c r="I229" s="22"/>
    </row>
    <row r="230" customFormat="false" ht="15" hidden="false" customHeight="false" outlineLevel="0" collapsed="false">
      <c r="I230" s="22"/>
    </row>
    <row r="231" customFormat="false" ht="15" hidden="false" customHeight="false" outlineLevel="0" collapsed="false">
      <c r="I231" s="22"/>
    </row>
    <row r="232" customFormat="false" ht="15" hidden="false" customHeight="false" outlineLevel="0" collapsed="false">
      <c r="I232" s="22"/>
    </row>
    <row r="233" customFormat="false" ht="15" hidden="false" customHeight="false" outlineLevel="0" collapsed="false">
      <c r="I233" s="22"/>
    </row>
    <row r="234" customFormat="false" ht="15" hidden="false" customHeight="false" outlineLevel="0" collapsed="false">
      <c r="I234" s="22"/>
    </row>
    <row r="235" customFormat="false" ht="15" hidden="false" customHeight="false" outlineLevel="0" collapsed="false">
      <c r="I235" s="22"/>
    </row>
    <row r="236" customFormat="false" ht="15" hidden="false" customHeight="false" outlineLevel="0" collapsed="false">
      <c r="I236" s="22"/>
    </row>
    <row r="237" customFormat="false" ht="15" hidden="false" customHeight="false" outlineLevel="0" collapsed="false">
      <c r="I237" s="22"/>
    </row>
    <row r="238" customFormat="false" ht="15" hidden="false" customHeight="false" outlineLevel="0" collapsed="false">
      <c r="I238" s="22"/>
    </row>
    <row r="239" customFormat="false" ht="15" hidden="false" customHeight="false" outlineLevel="0" collapsed="false">
      <c r="I239" s="22"/>
    </row>
    <row r="240" customFormat="false" ht="15" hidden="false" customHeight="false" outlineLevel="0" collapsed="false">
      <c r="I240" s="22"/>
    </row>
    <row r="241" customFormat="false" ht="15" hidden="false" customHeight="false" outlineLevel="0" collapsed="false">
      <c r="I241" s="22"/>
    </row>
    <row r="242" customFormat="false" ht="15" hidden="false" customHeight="false" outlineLevel="0" collapsed="false">
      <c r="I242" s="22"/>
    </row>
    <row r="243" customFormat="false" ht="15" hidden="false" customHeight="false" outlineLevel="0" collapsed="false">
      <c r="I243" s="22"/>
    </row>
    <row r="244" customFormat="false" ht="15" hidden="false" customHeight="false" outlineLevel="0" collapsed="false">
      <c r="I244" s="22"/>
    </row>
    <row r="245" customFormat="false" ht="15" hidden="false" customHeight="false" outlineLevel="0" collapsed="false">
      <c r="I245" s="22"/>
    </row>
    <row r="246" customFormat="false" ht="15" hidden="false" customHeight="false" outlineLevel="0" collapsed="false">
      <c r="I246" s="22"/>
    </row>
    <row r="247" customFormat="false" ht="15" hidden="false" customHeight="false" outlineLevel="0" collapsed="false">
      <c r="I247" s="22"/>
    </row>
    <row r="248" customFormat="false" ht="15" hidden="false" customHeight="false" outlineLevel="0" collapsed="false">
      <c r="I248" s="22"/>
    </row>
    <row r="249" customFormat="false" ht="15" hidden="false" customHeight="false" outlineLevel="0" collapsed="false">
      <c r="I249" s="22"/>
    </row>
    <row r="250" customFormat="false" ht="15" hidden="false" customHeight="false" outlineLevel="0" collapsed="false">
      <c r="I250" s="22"/>
    </row>
    <row r="251" customFormat="false" ht="15" hidden="false" customHeight="false" outlineLevel="0" collapsed="false">
      <c r="I251" s="22"/>
    </row>
    <row r="252" customFormat="false" ht="15" hidden="false" customHeight="false" outlineLevel="0" collapsed="false">
      <c r="I252" s="22"/>
    </row>
    <row r="253" customFormat="false" ht="15" hidden="false" customHeight="false" outlineLevel="0" collapsed="false">
      <c r="I253" s="22"/>
    </row>
    <row r="254" customFormat="false" ht="15" hidden="false" customHeight="false" outlineLevel="0" collapsed="false">
      <c r="I254" s="22"/>
    </row>
    <row r="255" customFormat="false" ht="15" hidden="false" customHeight="false" outlineLevel="0" collapsed="false">
      <c r="I255" s="22"/>
    </row>
    <row r="256" customFormat="false" ht="15" hidden="false" customHeight="false" outlineLevel="0" collapsed="false">
      <c r="I256" s="22"/>
    </row>
    <row r="257" customFormat="false" ht="15" hidden="false" customHeight="false" outlineLevel="0" collapsed="false">
      <c r="I257" s="22"/>
    </row>
    <row r="258" customFormat="false" ht="15" hidden="false" customHeight="false" outlineLevel="0" collapsed="false">
      <c r="I258" s="22"/>
    </row>
    <row r="259" customFormat="false" ht="15" hidden="false" customHeight="false" outlineLevel="0" collapsed="false">
      <c r="I259" s="22"/>
    </row>
    <row r="260" customFormat="false" ht="15" hidden="false" customHeight="false" outlineLevel="0" collapsed="false">
      <c r="I260" s="22"/>
    </row>
    <row r="261" customFormat="false" ht="15" hidden="false" customHeight="false" outlineLevel="0" collapsed="false">
      <c r="I261" s="22"/>
    </row>
    <row r="262" customFormat="false" ht="15" hidden="false" customHeight="false" outlineLevel="0" collapsed="false">
      <c r="I262" s="22"/>
    </row>
    <row r="263" customFormat="false" ht="15" hidden="false" customHeight="false" outlineLevel="0" collapsed="false">
      <c r="I263" s="22"/>
    </row>
    <row r="264" customFormat="false" ht="15" hidden="false" customHeight="false" outlineLevel="0" collapsed="false">
      <c r="I264" s="22"/>
    </row>
    <row r="265" customFormat="false" ht="15" hidden="false" customHeight="false" outlineLevel="0" collapsed="false">
      <c r="I265" s="22"/>
    </row>
    <row r="266" customFormat="false" ht="15" hidden="false" customHeight="false" outlineLevel="0" collapsed="false">
      <c r="I266" s="22"/>
    </row>
    <row r="267" customFormat="false" ht="15" hidden="false" customHeight="false" outlineLevel="0" collapsed="false">
      <c r="I267" s="22"/>
    </row>
    <row r="268" customFormat="false" ht="15" hidden="false" customHeight="false" outlineLevel="0" collapsed="false">
      <c r="I268" s="22"/>
    </row>
    <row r="269" customFormat="false" ht="15" hidden="false" customHeight="false" outlineLevel="0" collapsed="false">
      <c r="I269" s="22"/>
    </row>
    <row r="270" customFormat="false" ht="15" hidden="false" customHeight="false" outlineLevel="0" collapsed="false">
      <c r="I270" s="22"/>
    </row>
    <row r="271" customFormat="false" ht="15" hidden="false" customHeight="false" outlineLevel="0" collapsed="false">
      <c r="I271" s="22"/>
    </row>
    <row r="272" customFormat="false" ht="15" hidden="false" customHeight="false" outlineLevel="0" collapsed="false">
      <c r="I272" s="22"/>
    </row>
    <row r="273" customFormat="false" ht="15" hidden="false" customHeight="false" outlineLevel="0" collapsed="false">
      <c r="I273" s="22"/>
    </row>
    <row r="274" customFormat="false" ht="15" hidden="false" customHeight="false" outlineLevel="0" collapsed="false">
      <c r="I274" s="22"/>
    </row>
    <row r="275" customFormat="false" ht="15" hidden="false" customHeight="false" outlineLevel="0" collapsed="false">
      <c r="I275" s="22"/>
    </row>
    <row r="276" customFormat="false" ht="15" hidden="false" customHeight="false" outlineLevel="0" collapsed="false">
      <c r="I276" s="22"/>
    </row>
    <row r="277" customFormat="false" ht="15" hidden="false" customHeight="false" outlineLevel="0" collapsed="false">
      <c r="I277" s="22"/>
    </row>
    <row r="278" customFormat="false" ht="15" hidden="false" customHeight="false" outlineLevel="0" collapsed="false">
      <c r="I278" s="22"/>
    </row>
    <row r="279" customFormat="false" ht="15" hidden="false" customHeight="false" outlineLevel="0" collapsed="false">
      <c r="I279" s="22"/>
    </row>
    <row r="280" customFormat="false" ht="15" hidden="false" customHeight="false" outlineLevel="0" collapsed="false">
      <c r="I280" s="22"/>
    </row>
    <row r="281" customFormat="false" ht="15" hidden="false" customHeight="false" outlineLevel="0" collapsed="false">
      <c r="I281" s="22"/>
    </row>
    <row r="282" customFormat="false" ht="15" hidden="false" customHeight="false" outlineLevel="0" collapsed="false">
      <c r="I282" s="22"/>
    </row>
    <row r="283" customFormat="false" ht="15" hidden="false" customHeight="false" outlineLevel="0" collapsed="false">
      <c r="I283" s="22"/>
    </row>
    <row r="284" customFormat="false" ht="15" hidden="false" customHeight="false" outlineLevel="0" collapsed="false">
      <c r="I284" s="22"/>
    </row>
    <row r="285" customFormat="false" ht="15" hidden="false" customHeight="false" outlineLevel="0" collapsed="false">
      <c r="I285" s="22"/>
    </row>
    <row r="286" customFormat="false" ht="15" hidden="false" customHeight="false" outlineLevel="0" collapsed="false">
      <c r="I286" s="22"/>
    </row>
    <row r="287" customFormat="false" ht="15" hidden="false" customHeight="false" outlineLevel="0" collapsed="false">
      <c r="I287" s="22"/>
    </row>
    <row r="288" customFormat="false" ht="15" hidden="false" customHeight="false" outlineLevel="0" collapsed="false">
      <c r="I288" s="22"/>
    </row>
    <row r="289" customFormat="false" ht="15" hidden="false" customHeight="false" outlineLevel="0" collapsed="false">
      <c r="I289" s="22"/>
    </row>
    <row r="290" customFormat="false" ht="15" hidden="false" customHeight="false" outlineLevel="0" collapsed="false">
      <c r="I290" s="22"/>
    </row>
    <row r="291" customFormat="false" ht="15" hidden="false" customHeight="false" outlineLevel="0" collapsed="false">
      <c r="I291" s="22"/>
    </row>
    <row r="292" customFormat="false" ht="15" hidden="false" customHeight="false" outlineLevel="0" collapsed="false">
      <c r="I292" s="22"/>
    </row>
    <row r="293" customFormat="false" ht="15" hidden="false" customHeight="false" outlineLevel="0" collapsed="false">
      <c r="I293" s="22"/>
    </row>
    <row r="294" customFormat="false" ht="15" hidden="false" customHeight="false" outlineLevel="0" collapsed="false">
      <c r="I294" s="22"/>
    </row>
    <row r="295" customFormat="false" ht="15" hidden="false" customHeight="false" outlineLevel="0" collapsed="false">
      <c r="I295" s="22"/>
    </row>
    <row r="296" customFormat="false" ht="15" hidden="false" customHeight="false" outlineLevel="0" collapsed="false">
      <c r="I296" s="22"/>
    </row>
    <row r="297" customFormat="false" ht="15" hidden="false" customHeight="false" outlineLevel="0" collapsed="false">
      <c r="I297" s="22"/>
    </row>
    <row r="298" customFormat="false" ht="15" hidden="false" customHeight="false" outlineLevel="0" collapsed="false">
      <c r="I298" s="22"/>
    </row>
    <row r="299" customFormat="false" ht="15" hidden="false" customHeight="false" outlineLevel="0" collapsed="false">
      <c r="I299" s="22"/>
    </row>
    <row r="300" customFormat="false" ht="15" hidden="false" customHeight="false" outlineLevel="0" collapsed="false">
      <c r="I300" s="22"/>
    </row>
    <row r="301" customFormat="false" ht="15" hidden="false" customHeight="false" outlineLevel="0" collapsed="false">
      <c r="I301" s="22"/>
    </row>
    <row r="302" customFormat="false" ht="15" hidden="false" customHeight="false" outlineLevel="0" collapsed="false">
      <c r="I302" s="22"/>
    </row>
    <row r="303" customFormat="false" ht="15" hidden="false" customHeight="false" outlineLevel="0" collapsed="false">
      <c r="I303" s="22"/>
    </row>
    <row r="304" customFormat="false" ht="15" hidden="false" customHeight="false" outlineLevel="0" collapsed="false">
      <c r="I304" s="22"/>
    </row>
    <row r="305" customFormat="false" ht="15" hidden="false" customHeight="false" outlineLevel="0" collapsed="false">
      <c r="I305" s="22"/>
    </row>
    <row r="306" customFormat="false" ht="15" hidden="false" customHeight="false" outlineLevel="0" collapsed="false">
      <c r="I306" s="22"/>
    </row>
    <row r="307" customFormat="false" ht="15" hidden="false" customHeight="false" outlineLevel="0" collapsed="false">
      <c r="I307" s="22"/>
    </row>
    <row r="308" customFormat="false" ht="15" hidden="false" customHeight="false" outlineLevel="0" collapsed="false">
      <c r="I308" s="22"/>
    </row>
    <row r="309" customFormat="false" ht="15" hidden="false" customHeight="false" outlineLevel="0" collapsed="false">
      <c r="I309" s="22"/>
    </row>
    <row r="310" customFormat="false" ht="15" hidden="false" customHeight="false" outlineLevel="0" collapsed="false">
      <c r="I310" s="22"/>
    </row>
    <row r="311" customFormat="false" ht="15" hidden="false" customHeight="false" outlineLevel="0" collapsed="false">
      <c r="I311" s="22"/>
    </row>
    <row r="312" customFormat="false" ht="15" hidden="false" customHeight="false" outlineLevel="0" collapsed="false">
      <c r="I312" s="22"/>
    </row>
    <row r="313" customFormat="false" ht="15" hidden="false" customHeight="false" outlineLevel="0" collapsed="false">
      <c r="I313" s="22"/>
    </row>
    <row r="314" customFormat="false" ht="15" hidden="false" customHeight="false" outlineLevel="0" collapsed="false">
      <c r="I314" s="22"/>
    </row>
    <row r="315" customFormat="false" ht="15" hidden="false" customHeight="false" outlineLevel="0" collapsed="false">
      <c r="I315" s="22"/>
    </row>
    <row r="316" customFormat="false" ht="15" hidden="false" customHeight="false" outlineLevel="0" collapsed="false">
      <c r="I316" s="22"/>
    </row>
    <row r="317" customFormat="false" ht="15" hidden="false" customHeight="false" outlineLevel="0" collapsed="false">
      <c r="I317" s="22"/>
    </row>
    <row r="318" customFormat="false" ht="15" hidden="false" customHeight="false" outlineLevel="0" collapsed="false">
      <c r="I318" s="22"/>
    </row>
    <row r="319" customFormat="false" ht="15" hidden="false" customHeight="false" outlineLevel="0" collapsed="false">
      <c r="I319" s="22"/>
    </row>
    <row r="320" customFormat="false" ht="15" hidden="false" customHeight="false" outlineLevel="0" collapsed="false">
      <c r="I320" s="22"/>
    </row>
    <row r="321" customFormat="false" ht="15" hidden="false" customHeight="false" outlineLevel="0" collapsed="false">
      <c r="I321" s="22"/>
    </row>
    <row r="322" customFormat="false" ht="15" hidden="false" customHeight="false" outlineLevel="0" collapsed="false">
      <c r="I322" s="22"/>
    </row>
    <row r="323" customFormat="false" ht="15" hidden="false" customHeight="false" outlineLevel="0" collapsed="false">
      <c r="I323" s="22"/>
    </row>
    <row r="324" customFormat="false" ht="15" hidden="false" customHeight="false" outlineLevel="0" collapsed="false">
      <c r="I324" s="22"/>
    </row>
    <row r="325" customFormat="false" ht="15" hidden="false" customHeight="false" outlineLevel="0" collapsed="false">
      <c r="I325" s="22"/>
    </row>
    <row r="326" customFormat="false" ht="15" hidden="false" customHeight="false" outlineLevel="0" collapsed="false">
      <c r="I326" s="22"/>
    </row>
    <row r="327" customFormat="false" ht="15" hidden="false" customHeight="false" outlineLevel="0" collapsed="false">
      <c r="I327" s="22"/>
    </row>
    <row r="328" customFormat="false" ht="15" hidden="false" customHeight="false" outlineLevel="0" collapsed="false">
      <c r="I328" s="22"/>
    </row>
    <row r="329" customFormat="false" ht="15" hidden="false" customHeight="false" outlineLevel="0" collapsed="false">
      <c r="I329" s="22"/>
    </row>
    <row r="330" customFormat="false" ht="15" hidden="false" customHeight="false" outlineLevel="0" collapsed="false">
      <c r="I330" s="22"/>
    </row>
    <row r="331" customFormat="false" ht="15" hidden="false" customHeight="false" outlineLevel="0" collapsed="false">
      <c r="I331" s="22"/>
    </row>
    <row r="332" customFormat="false" ht="15" hidden="false" customHeight="false" outlineLevel="0" collapsed="false">
      <c r="I332" s="22"/>
    </row>
    <row r="333" customFormat="false" ht="15" hidden="false" customHeight="false" outlineLevel="0" collapsed="false">
      <c r="I333" s="22"/>
    </row>
    <row r="334" customFormat="false" ht="15" hidden="false" customHeight="false" outlineLevel="0" collapsed="false">
      <c r="I334" s="22"/>
    </row>
    <row r="335" customFormat="false" ht="15" hidden="false" customHeight="false" outlineLevel="0" collapsed="false">
      <c r="I335" s="22"/>
    </row>
    <row r="336" customFormat="false" ht="15" hidden="false" customHeight="false" outlineLevel="0" collapsed="false">
      <c r="I336" s="22"/>
    </row>
    <row r="337" customFormat="false" ht="15" hidden="false" customHeight="false" outlineLevel="0" collapsed="false">
      <c r="I337" s="22"/>
    </row>
    <row r="338" customFormat="false" ht="15" hidden="false" customHeight="false" outlineLevel="0" collapsed="false">
      <c r="I338" s="22"/>
    </row>
    <row r="339" customFormat="false" ht="15" hidden="false" customHeight="false" outlineLevel="0" collapsed="false">
      <c r="I339" s="22"/>
    </row>
    <row r="340" customFormat="false" ht="15" hidden="false" customHeight="false" outlineLevel="0" collapsed="false">
      <c r="I340" s="22"/>
    </row>
    <row r="341" customFormat="false" ht="15" hidden="false" customHeight="false" outlineLevel="0" collapsed="false">
      <c r="I341" s="22"/>
    </row>
    <row r="342" customFormat="false" ht="15" hidden="false" customHeight="false" outlineLevel="0" collapsed="false">
      <c r="I342" s="22"/>
    </row>
    <row r="343" customFormat="false" ht="15" hidden="false" customHeight="false" outlineLevel="0" collapsed="false">
      <c r="I343" s="22"/>
    </row>
    <row r="344" customFormat="false" ht="15" hidden="false" customHeight="false" outlineLevel="0" collapsed="false">
      <c r="I344" s="22"/>
    </row>
    <row r="345" customFormat="false" ht="15" hidden="false" customHeight="false" outlineLevel="0" collapsed="false">
      <c r="I345" s="22"/>
    </row>
    <row r="346" customFormat="false" ht="15" hidden="false" customHeight="false" outlineLevel="0" collapsed="false">
      <c r="I346" s="22"/>
    </row>
    <row r="347" customFormat="false" ht="15" hidden="false" customHeight="false" outlineLevel="0" collapsed="false">
      <c r="I347" s="22"/>
    </row>
    <row r="348" customFormat="false" ht="15" hidden="false" customHeight="false" outlineLevel="0" collapsed="false">
      <c r="I348" s="22"/>
    </row>
    <row r="349" customFormat="false" ht="15" hidden="false" customHeight="false" outlineLevel="0" collapsed="false">
      <c r="I349" s="22"/>
    </row>
    <row r="350" customFormat="false" ht="15" hidden="false" customHeight="false" outlineLevel="0" collapsed="false">
      <c r="I350" s="22"/>
    </row>
    <row r="351" customFormat="false" ht="15" hidden="false" customHeight="false" outlineLevel="0" collapsed="false">
      <c r="I351" s="22"/>
    </row>
    <row r="352" customFormat="false" ht="15" hidden="false" customHeight="false" outlineLevel="0" collapsed="false">
      <c r="I352" s="22"/>
    </row>
    <row r="353" customFormat="false" ht="15" hidden="false" customHeight="false" outlineLevel="0" collapsed="false">
      <c r="I353" s="22"/>
    </row>
    <row r="354" customFormat="false" ht="15" hidden="false" customHeight="false" outlineLevel="0" collapsed="false">
      <c r="I354" s="22"/>
    </row>
    <row r="355" customFormat="false" ht="15" hidden="false" customHeight="false" outlineLevel="0" collapsed="false">
      <c r="I355" s="22"/>
    </row>
    <row r="356" customFormat="false" ht="15" hidden="false" customHeight="false" outlineLevel="0" collapsed="false">
      <c r="I356" s="22"/>
    </row>
    <row r="357" customFormat="false" ht="15" hidden="false" customHeight="false" outlineLevel="0" collapsed="false">
      <c r="I357" s="22"/>
    </row>
    <row r="358" customFormat="false" ht="15" hidden="false" customHeight="false" outlineLevel="0" collapsed="false">
      <c r="I358" s="22"/>
    </row>
    <row r="359" customFormat="false" ht="15" hidden="false" customHeight="false" outlineLevel="0" collapsed="false">
      <c r="I359" s="22"/>
    </row>
    <row r="360" customFormat="false" ht="15" hidden="false" customHeight="false" outlineLevel="0" collapsed="false">
      <c r="I360" s="22"/>
    </row>
    <row r="361" customFormat="false" ht="15" hidden="false" customHeight="false" outlineLevel="0" collapsed="false">
      <c r="I361" s="22"/>
    </row>
    <row r="362" customFormat="false" ht="15" hidden="false" customHeight="false" outlineLevel="0" collapsed="false">
      <c r="I362" s="22"/>
    </row>
    <row r="363" customFormat="false" ht="15" hidden="false" customHeight="false" outlineLevel="0" collapsed="false">
      <c r="I363" s="22"/>
    </row>
    <row r="364" customFormat="false" ht="15" hidden="false" customHeight="false" outlineLevel="0" collapsed="false">
      <c r="I364" s="22"/>
    </row>
    <row r="365" customFormat="false" ht="15" hidden="false" customHeight="false" outlineLevel="0" collapsed="false">
      <c r="I365" s="22"/>
    </row>
    <row r="366" customFormat="false" ht="15" hidden="false" customHeight="false" outlineLevel="0" collapsed="false">
      <c r="I366" s="22"/>
    </row>
    <row r="367" customFormat="false" ht="15" hidden="false" customHeight="false" outlineLevel="0" collapsed="false">
      <c r="I367" s="22"/>
    </row>
    <row r="368" customFormat="false" ht="15" hidden="false" customHeight="false" outlineLevel="0" collapsed="false">
      <c r="I368" s="22"/>
    </row>
    <row r="369" customFormat="false" ht="15" hidden="false" customHeight="false" outlineLevel="0" collapsed="false">
      <c r="I369" s="22"/>
    </row>
    <row r="370" customFormat="false" ht="15" hidden="false" customHeight="false" outlineLevel="0" collapsed="false">
      <c r="I370" s="22"/>
    </row>
    <row r="371" customFormat="false" ht="15" hidden="false" customHeight="false" outlineLevel="0" collapsed="false">
      <c r="I371" s="22"/>
    </row>
    <row r="372" customFormat="false" ht="15" hidden="false" customHeight="false" outlineLevel="0" collapsed="false">
      <c r="I372" s="22"/>
    </row>
    <row r="373" customFormat="false" ht="15" hidden="false" customHeight="false" outlineLevel="0" collapsed="false">
      <c r="I373" s="22"/>
    </row>
    <row r="374" customFormat="false" ht="15" hidden="false" customHeight="false" outlineLevel="0" collapsed="false">
      <c r="I374" s="22"/>
    </row>
    <row r="375" customFormat="false" ht="15" hidden="false" customHeight="false" outlineLevel="0" collapsed="false">
      <c r="I375" s="22"/>
    </row>
    <row r="376" customFormat="false" ht="15" hidden="false" customHeight="false" outlineLevel="0" collapsed="false">
      <c r="I376" s="22"/>
    </row>
    <row r="377" customFormat="false" ht="15" hidden="false" customHeight="false" outlineLevel="0" collapsed="false">
      <c r="I377" s="22"/>
    </row>
    <row r="378" customFormat="false" ht="15" hidden="false" customHeight="false" outlineLevel="0" collapsed="false">
      <c r="I378" s="22"/>
    </row>
    <row r="379" customFormat="false" ht="15" hidden="false" customHeight="false" outlineLevel="0" collapsed="false">
      <c r="I379" s="22"/>
    </row>
    <row r="380" customFormat="false" ht="15" hidden="false" customHeight="false" outlineLevel="0" collapsed="false">
      <c r="I380" s="22"/>
    </row>
    <row r="381" customFormat="false" ht="15" hidden="false" customHeight="false" outlineLevel="0" collapsed="false">
      <c r="I381" s="22"/>
    </row>
    <row r="382" customFormat="false" ht="15" hidden="false" customHeight="false" outlineLevel="0" collapsed="false">
      <c r="I382" s="22"/>
    </row>
    <row r="383" customFormat="false" ht="15" hidden="false" customHeight="false" outlineLevel="0" collapsed="false">
      <c r="I383" s="22"/>
    </row>
    <row r="384" customFormat="false" ht="15" hidden="false" customHeight="false" outlineLevel="0" collapsed="false">
      <c r="I384" s="22"/>
    </row>
    <row r="385" customFormat="false" ht="15" hidden="false" customHeight="false" outlineLevel="0" collapsed="false">
      <c r="I385" s="22"/>
    </row>
    <row r="386" customFormat="false" ht="15" hidden="false" customHeight="false" outlineLevel="0" collapsed="false">
      <c r="I386" s="22"/>
    </row>
    <row r="387" customFormat="false" ht="15" hidden="false" customHeight="false" outlineLevel="0" collapsed="false">
      <c r="I387" s="22"/>
    </row>
    <row r="388" customFormat="false" ht="15" hidden="false" customHeight="false" outlineLevel="0" collapsed="false">
      <c r="I388" s="22"/>
    </row>
    <row r="389" customFormat="false" ht="15" hidden="false" customHeight="false" outlineLevel="0" collapsed="false">
      <c r="I389" s="22"/>
    </row>
    <row r="390" customFormat="false" ht="15" hidden="false" customHeight="false" outlineLevel="0" collapsed="false">
      <c r="I390" s="22"/>
    </row>
    <row r="391" customFormat="false" ht="15" hidden="false" customHeight="false" outlineLevel="0" collapsed="false">
      <c r="I391" s="22"/>
    </row>
    <row r="392" customFormat="false" ht="15" hidden="false" customHeight="false" outlineLevel="0" collapsed="false">
      <c r="I392" s="22"/>
    </row>
    <row r="393" customFormat="false" ht="15" hidden="false" customHeight="false" outlineLevel="0" collapsed="false">
      <c r="I393" s="22"/>
    </row>
    <row r="394" customFormat="false" ht="15" hidden="false" customHeight="false" outlineLevel="0" collapsed="false">
      <c r="I394" s="22"/>
    </row>
    <row r="395" customFormat="false" ht="15" hidden="false" customHeight="false" outlineLevel="0" collapsed="false">
      <c r="I395" s="22"/>
    </row>
    <row r="396" customFormat="false" ht="15" hidden="false" customHeight="false" outlineLevel="0" collapsed="false">
      <c r="I396" s="22"/>
    </row>
    <row r="397" customFormat="false" ht="15" hidden="false" customHeight="false" outlineLevel="0" collapsed="false">
      <c r="I397" s="22"/>
    </row>
    <row r="398" customFormat="false" ht="15" hidden="false" customHeight="false" outlineLevel="0" collapsed="false">
      <c r="I398" s="22"/>
    </row>
    <row r="399" customFormat="false" ht="15" hidden="false" customHeight="false" outlineLevel="0" collapsed="false">
      <c r="I399" s="22"/>
    </row>
    <row r="400" customFormat="false" ht="15" hidden="false" customHeight="false" outlineLevel="0" collapsed="false">
      <c r="I400" s="22"/>
    </row>
    <row r="401" customFormat="false" ht="15" hidden="false" customHeight="false" outlineLevel="0" collapsed="false">
      <c r="I401" s="22"/>
    </row>
    <row r="402" customFormat="false" ht="15" hidden="false" customHeight="false" outlineLevel="0" collapsed="false">
      <c r="I402" s="22"/>
    </row>
    <row r="403" customFormat="false" ht="15" hidden="false" customHeight="false" outlineLevel="0" collapsed="false">
      <c r="I403" s="22"/>
    </row>
    <row r="404" customFormat="false" ht="15" hidden="false" customHeight="false" outlineLevel="0" collapsed="false">
      <c r="I404" s="22"/>
    </row>
    <row r="405" customFormat="false" ht="15" hidden="false" customHeight="false" outlineLevel="0" collapsed="false">
      <c r="I405" s="22"/>
    </row>
    <row r="406" customFormat="false" ht="15" hidden="false" customHeight="false" outlineLevel="0" collapsed="false">
      <c r="I406" s="22"/>
    </row>
    <row r="407" customFormat="false" ht="15" hidden="false" customHeight="false" outlineLevel="0" collapsed="false">
      <c r="I407" s="22"/>
    </row>
    <row r="408" customFormat="false" ht="15" hidden="false" customHeight="false" outlineLevel="0" collapsed="false">
      <c r="I408" s="22"/>
    </row>
    <row r="409" customFormat="false" ht="15" hidden="false" customHeight="false" outlineLevel="0" collapsed="false">
      <c r="I409" s="22"/>
    </row>
    <row r="410" customFormat="false" ht="15" hidden="false" customHeight="false" outlineLevel="0" collapsed="false">
      <c r="I410" s="22"/>
    </row>
    <row r="411" customFormat="false" ht="15" hidden="false" customHeight="false" outlineLevel="0" collapsed="false">
      <c r="I411" s="22"/>
    </row>
    <row r="412" customFormat="false" ht="15" hidden="false" customHeight="false" outlineLevel="0" collapsed="false">
      <c r="I412" s="22"/>
    </row>
    <row r="413" customFormat="false" ht="15" hidden="false" customHeight="false" outlineLevel="0" collapsed="false">
      <c r="I413" s="22"/>
    </row>
    <row r="414" customFormat="false" ht="15" hidden="false" customHeight="false" outlineLevel="0" collapsed="false">
      <c r="I414" s="22"/>
    </row>
    <row r="415" customFormat="false" ht="15" hidden="false" customHeight="false" outlineLevel="0" collapsed="false">
      <c r="I415" s="22"/>
    </row>
    <row r="416" customFormat="false" ht="15" hidden="false" customHeight="false" outlineLevel="0" collapsed="false">
      <c r="I416" s="22"/>
    </row>
    <row r="417" customFormat="false" ht="15" hidden="false" customHeight="false" outlineLevel="0" collapsed="false">
      <c r="I417" s="22"/>
    </row>
    <row r="418" customFormat="false" ht="15" hidden="false" customHeight="false" outlineLevel="0" collapsed="false">
      <c r="I418" s="22"/>
    </row>
    <row r="419" customFormat="false" ht="15" hidden="false" customHeight="false" outlineLevel="0" collapsed="false">
      <c r="I419" s="22"/>
    </row>
    <row r="420" customFormat="false" ht="15" hidden="false" customHeight="false" outlineLevel="0" collapsed="false">
      <c r="I420" s="22"/>
    </row>
    <row r="421" customFormat="false" ht="15" hidden="false" customHeight="false" outlineLevel="0" collapsed="false">
      <c r="I421" s="22"/>
    </row>
    <row r="422" customFormat="false" ht="15" hidden="false" customHeight="false" outlineLevel="0" collapsed="false">
      <c r="I422" s="22"/>
    </row>
    <row r="423" customFormat="false" ht="15" hidden="false" customHeight="false" outlineLevel="0" collapsed="false">
      <c r="I423" s="22"/>
    </row>
    <row r="424" customFormat="false" ht="15" hidden="false" customHeight="false" outlineLevel="0" collapsed="false">
      <c r="I424" s="22"/>
    </row>
    <row r="425" customFormat="false" ht="15" hidden="false" customHeight="false" outlineLevel="0" collapsed="false">
      <c r="I425" s="22"/>
    </row>
    <row r="426" customFormat="false" ht="15" hidden="false" customHeight="false" outlineLevel="0" collapsed="false">
      <c r="I426" s="22"/>
    </row>
    <row r="427" customFormat="false" ht="15" hidden="false" customHeight="false" outlineLevel="0" collapsed="false">
      <c r="I427" s="22"/>
    </row>
    <row r="428" customFormat="false" ht="15" hidden="false" customHeight="false" outlineLevel="0" collapsed="false">
      <c r="I428" s="22"/>
    </row>
    <row r="429" customFormat="false" ht="15" hidden="false" customHeight="false" outlineLevel="0" collapsed="false">
      <c r="I429" s="22"/>
    </row>
    <row r="430" customFormat="false" ht="15" hidden="false" customHeight="false" outlineLevel="0" collapsed="false">
      <c r="I430" s="22"/>
    </row>
    <row r="431" customFormat="false" ht="15" hidden="false" customHeight="false" outlineLevel="0" collapsed="false">
      <c r="I431" s="22"/>
    </row>
    <row r="432" customFormat="false" ht="15" hidden="false" customHeight="false" outlineLevel="0" collapsed="false">
      <c r="I432" s="22"/>
    </row>
    <row r="433" customFormat="false" ht="15" hidden="false" customHeight="false" outlineLevel="0" collapsed="false">
      <c r="I433" s="22"/>
    </row>
    <row r="434" customFormat="false" ht="15" hidden="false" customHeight="false" outlineLevel="0" collapsed="false">
      <c r="I434" s="22"/>
    </row>
    <row r="435" customFormat="false" ht="15" hidden="false" customHeight="false" outlineLevel="0" collapsed="false">
      <c r="I435" s="22"/>
    </row>
    <row r="436" customFormat="false" ht="15" hidden="false" customHeight="false" outlineLevel="0" collapsed="false">
      <c r="I436" s="22"/>
    </row>
    <row r="437" customFormat="false" ht="15" hidden="false" customHeight="false" outlineLevel="0" collapsed="false">
      <c r="I437" s="22"/>
    </row>
    <row r="438" customFormat="false" ht="15" hidden="false" customHeight="false" outlineLevel="0" collapsed="false">
      <c r="I438" s="22"/>
    </row>
    <row r="439" customFormat="false" ht="15" hidden="false" customHeight="false" outlineLevel="0" collapsed="false">
      <c r="I439" s="22"/>
    </row>
    <row r="440" customFormat="false" ht="15" hidden="false" customHeight="false" outlineLevel="0" collapsed="false">
      <c r="I440" s="22"/>
    </row>
    <row r="441" customFormat="false" ht="15" hidden="false" customHeight="false" outlineLevel="0" collapsed="false">
      <c r="I441" s="22"/>
    </row>
    <row r="442" customFormat="false" ht="15" hidden="false" customHeight="false" outlineLevel="0" collapsed="false">
      <c r="I442" s="22"/>
    </row>
    <row r="443" customFormat="false" ht="15" hidden="false" customHeight="false" outlineLevel="0" collapsed="false">
      <c r="I443" s="22"/>
    </row>
    <row r="444" customFormat="false" ht="15" hidden="false" customHeight="false" outlineLevel="0" collapsed="false">
      <c r="I444" s="22"/>
    </row>
    <row r="445" customFormat="false" ht="15" hidden="false" customHeight="false" outlineLevel="0" collapsed="false">
      <c r="I445" s="22"/>
    </row>
    <row r="446" customFormat="false" ht="15" hidden="false" customHeight="false" outlineLevel="0" collapsed="false">
      <c r="I446" s="22"/>
    </row>
    <row r="447" customFormat="false" ht="15" hidden="false" customHeight="false" outlineLevel="0" collapsed="false">
      <c r="I447" s="22"/>
    </row>
    <row r="448" customFormat="false" ht="15" hidden="false" customHeight="false" outlineLevel="0" collapsed="false">
      <c r="I448" s="22"/>
    </row>
    <row r="449" customFormat="false" ht="15" hidden="false" customHeight="false" outlineLevel="0" collapsed="false">
      <c r="I449" s="22"/>
    </row>
    <row r="450" customFormat="false" ht="15" hidden="false" customHeight="false" outlineLevel="0" collapsed="false">
      <c r="I450" s="22"/>
    </row>
    <row r="451" customFormat="false" ht="15" hidden="false" customHeight="false" outlineLevel="0" collapsed="false">
      <c r="I451" s="22"/>
    </row>
    <row r="452" customFormat="false" ht="15" hidden="false" customHeight="false" outlineLevel="0" collapsed="false">
      <c r="I452" s="22"/>
    </row>
    <row r="453" customFormat="false" ht="15" hidden="false" customHeight="false" outlineLevel="0" collapsed="false">
      <c r="I453" s="22"/>
    </row>
    <row r="454" customFormat="false" ht="15" hidden="false" customHeight="false" outlineLevel="0" collapsed="false">
      <c r="I454" s="22"/>
    </row>
    <row r="455" customFormat="false" ht="15" hidden="false" customHeight="false" outlineLevel="0" collapsed="false">
      <c r="I455" s="22"/>
    </row>
    <row r="456" customFormat="false" ht="15" hidden="false" customHeight="false" outlineLevel="0" collapsed="false">
      <c r="I456" s="22"/>
    </row>
    <row r="457" customFormat="false" ht="15" hidden="false" customHeight="false" outlineLevel="0" collapsed="false">
      <c r="I457" s="22"/>
    </row>
    <row r="458" customFormat="false" ht="15" hidden="false" customHeight="false" outlineLevel="0" collapsed="false">
      <c r="I458" s="22"/>
    </row>
    <row r="459" customFormat="false" ht="15" hidden="false" customHeight="false" outlineLevel="0" collapsed="false">
      <c r="I459" s="22"/>
    </row>
    <row r="460" customFormat="false" ht="15" hidden="false" customHeight="false" outlineLevel="0" collapsed="false">
      <c r="I460" s="22"/>
    </row>
    <row r="461" customFormat="false" ht="15" hidden="false" customHeight="false" outlineLevel="0" collapsed="false">
      <c r="I461" s="22"/>
    </row>
    <row r="462" customFormat="false" ht="15" hidden="false" customHeight="false" outlineLevel="0" collapsed="false">
      <c r="I462" s="22"/>
    </row>
    <row r="463" customFormat="false" ht="15" hidden="false" customHeight="false" outlineLevel="0" collapsed="false">
      <c r="I463" s="22"/>
    </row>
    <row r="464" customFormat="false" ht="15" hidden="false" customHeight="false" outlineLevel="0" collapsed="false">
      <c r="I464" s="22"/>
    </row>
    <row r="465" customFormat="false" ht="15" hidden="false" customHeight="false" outlineLevel="0" collapsed="false">
      <c r="I465" s="22"/>
    </row>
    <row r="466" customFormat="false" ht="15" hidden="false" customHeight="false" outlineLevel="0" collapsed="false">
      <c r="I466" s="22"/>
    </row>
    <row r="467" customFormat="false" ht="15" hidden="false" customHeight="false" outlineLevel="0" collapsed="false">
      <c r="I467" s="22"/>
    </row>
    <row r="468" customFormat="false" ht="15" hidden="false" customHeight="false" outlineLevel="0" collapsed="false">
      <c r="I468" s="22"/>
    </row>
    <row r="469" customFormat="false" ht="15" hidden="false" customHeight="false" outlineLevel="0" collapsed="false">
      <c r="I469" s="22"/>
    </row>
    <row r="470" customFormat="false" ht="15" hidden="false" customHeight="false" outlineLevel="0" collapsed="false">
      <c r="I470" s="22"/>
    </row>
    <row r="471" customFormat="false" ht="15" hidden="false" customHeight="false" outlineLevel="0" collapsed="false">
      <c r="I471" s="22"/>
    </row>
    <row r="472" customFormat="false" ht="15" hidden="false" customHeight="false" outlineLevel="0" collapsed="false">
      <c r="I472" s="22"/>
    </row>
    <row r="473" customFormat="false" ht="15" hidden="false" customHeight="false" outlineLevel="0" collapsed="false">
      <c r="I473" s="22"/>
    </row>
    <row r="474" customFormat="false" ht="15" hidden="false" customHeight="false" outlineLevel="0" collapsed="false">
      <c r="I474" s="22"/>
    </row>
    <row r="475" customFormat="false" ht="15" hidden="false" customHeight="false" outlineLevel="0" collapsed="false">
      <c r="I475" s="22"/>
    </row>
    <row r="476" customFormat="false" ht="15" hidden="false" customHeight="false" outlineLevel="0" collapsed="false">
      <c r="I476" s="22"/>
    </row>
    <row r="477" customFormat="false" ht="15" hidden="false" customHeight="false" outlineLevel="0" collapsed="false">
      <c r="I477" s="22"/>
    </row>
    <row r="478" customFormat="false" ht="15" hidden="false" customHeight="false" outlineLevel="0" collapsed="false">
      <c r="I478" s="22"/>
    </row>
    <row r="479" customFormat="false" ht="15" hidden="false" customHeight="false" outlineLevel="0" collapsed="false">
      <c r="I479" s="22"/>
    </row>
    <row r="480" customFormat="false" ht="15" hidden="false" customHeight="false" outlineLevel="0" collapsed="false">
      <c r="I480" s="22"/>
    </row>
    <row r="481" customFormat="false" ht="15" hidden="false" customHeight="false" outlineLevel="0" collapsed="false">
      <c r="I481" s="22"/>
    </row>
    <row r="482" customFormat="false" ht="15" hidden="false" customHeight="false" outlineLevel="0" collapsed="false">
      <c r="I482" s="22"/>
    </row>
    <row r="483" customFormat="false" ht="15" hidden="false" customHeight="false" outlineLevel="0" collapsed="false">
      <c r="I483" s="22"/>
    </row>
    <row r="484" customFormat="false" ht="15" hidden="false" customHeight="false" outlineLevel="0" collapsed="false">
      <c r="I484" s="22"/>
    </row>
    <row r="485" customFormat="false" ht="15" hidden="false" customHeight="false" outlineLevel="0" collapsed="false">
      <c r="I485" s="22"/>
    </row>
    <row r="486" customFormat="false" ht="15" hidden="false" customHeight="false" outlineLevel="0" collapsed="false">
      <c r="I486" s="22"/>
    </row>
    <row r="487" customFormat="false" ht="15" hidden="false" customHeight="false" outlineLevel="0" collapsed="false">
      <c r="I487" s="22"/>
    </row>
    <row r="488" customFormat="false" ht="15" hidden="false" customHeight="false" outlineLevel="0" collapsed="false">
      <c r="I488" s="22"/>
    </row>
    <row r="489" customFormat="false" ht="15" hidden="false" customHeight="false" outlineLevel="0" collapsed="false">
      <c r="I489" s="22"/>
    </row>
    <row r="490" customFormat="false" ht="15" hidden="false" customHeight="false" outlineLevel="0" collapsed="false">
      <c r="I490" s="22"/>
    </row>
    <row r="491" customFormat="false" ht="15" hidden="false" customHeight="false" outlineLevel="0" collapsed="false">
      <c r="I491" s="22"/>
    </row>
    <row r="492" customFormat="false" ht="15" hidden="false" customHeight="false" outlineLevel="0" collapsed="false">
      <c r="I492" s="22"/>
    </row>
    <row r="493" customFormat="false" ht="15" hidden="false" customHeight="false" outlineLevel="0" collapsed="false">
      <c r="I493" s="22"/>
    </row>
    <row r="494" customFormat="false" ht="15" hidden="false" customHeight="false" outlineLevel="0" collapsed="false">
      <c r="I494" s="22"/>
    </row>
    <row r="495" customFormat="false" ht="15" hidden="false" customHeight="false" outlineLevel="0" collapsed="false">
      <c r="I495" s="22"/>
    </row>
    <row r="496" customFormat="false" ht="15" hidden="false" customHeight="false" outlineLevel="0" collapsed="false">
      <c r="I496" s="22"/>
    </row>
    <row r="497" customFormat="false" ht="15" hidden="false" customHeight="false" outlineLevel="0" collapsed="false">
      <c r="I497" s="22"/>
    </row>
    <row r="498" customFormat="false" ht="15" hidden="false" customHeight="false" outlineLevel="0" collapsed="false">
      <c r="I498" s="22"/>
    </row>
    <row r="499" customFormat="false" ht="15" hidden="false" customHeight="false" outlineLevel="0" collapsed="false">
      <c r="I499" s="22"/>
    </row>
    <row r="500" customFormat="false" ht="15" hidden="false" customHeight="false" outlineLevel="0" collapsed="false">
      <c r="I500" s="22"/>
    </row>
    <row r="501" customFormat="false" ht="15" hidden="false" customHeight="false" outlineLevel="0" collapsed="false">
      <c r="I501" s="22"/>
    </row>
    <row r="502" customFormat="false" ht="15" hidden="false" customHeight="false" outlineLevel="0" collapsed="false">
      <c r="I502" s="22"/>
    </row>
    <row r="503" customFormat="false" ht="15" hidden="false" customHeight="false" outlineLevel="0" collapsed="false">
      <c r="I503" s="22"/>
    </row>
    <row r="504" customFormat="false" ht="15" hidden="false" customHeight="false" outlineLevel="0" collapsed="false">
      <c r="I504" s="22"/>
    </row>
    <row r="505" customFormat="false" ht="15" hidden="false" customHeight="false" outlineLevel="0" collapsed="false">
      <c r="I505" s="22"/>
    </row>
    <row r="506" customFormat="false" ht="15" hidden="false" customHeight="false" outlineLevel="0" collapsed="false">
      <c r="I506" s="22"/>
    </row>
    <row r="507" customFormat="false" ht="15" hidden="false" customHeight="false" outlineLevel="0" collapsed="false">
      <c r="I507" s="22"/>
    </row>
    <row r="508" customFormat="false" ht="15" hidden="false" customHeight="false" outlineLevel="0" collapsed="false">
      <c r="I508" s="22"/>
    </row>
    <row r="509" customFormat="false" ht="15" hidden="false" customHeight="false" outlineLevel="0" collapsed="false">
      <c r="I509" s="22"/>
    </row>
    <row r="510" customFormat="false" ht="15" hidden="false" customHeight="false" outlineLevel="0" collapsed="false">
      <c r="I510" s="22"/>
    </row>
    <row r="511" customFormat="false" ht="15" hidden="false" customHeight="false" outlineLevel="0" collapsed="false">
      <c r="I511" s="22"/>
    </row>
    <row r="512" customFormat="false" ht="15" hidden="false" customHeight="false" outlineLevel="0" collapsed="false">
      <c r="I512" s="22"/>
    </row>
    <row r="513" customFormat="false" ht="15" hidden="false" customHeight="false" outlineLevel="0" collapsed="false">
      <c r="I513" s="22"/>
    </row>
    <row r="514" customFormat="false" ht="15" hidden="false" customHeight="false" outlineLevel="0" collapsed="false">
      <c r="I514" s="22"/>
    </row>
    <row r="515" customFormat="false" ht="15" hidden="false" customHeight="false" outlineLevel="0" collapsed="false">
      <c r="I515" s="22"/>
    </row>
    <row r="516" customFormat="false" ht="15" hidden="false" customHeight="false" outlineLevel="0" collapsed="false">
      <c r="I516" s="22"/>
    </row>
    <row r="517" customFormat="false" ht="15" hidden="false" customHeight="false" outlineLevel="0" collapsed="false">
      <c r="I517" s="22"/>
    </row>
    <row r="518" customFormat="false" ht="15" hidden="false" customHeight="false" outlineLevel="0" collapsed="false">
      <c r="I518" s="22"/>
    </row>
    <row r="519" customFormat="false" ht="15" hidden="false" customHeight="false" outlineLevel="0" collapsed="false">
      <c r="I519" s="22"/>
    </row>
    <row r="520" customFormat="false" ht="15" hidden="false" customHeight="false" outlineLevel="0" collapsed="false">
      <c r="I520" s="22"/>
    </row>
    <row r="521" customFormat="false" ht="15" hidden="false" customHeight="false" outlineLevel="0" collapsed="false">
      <c r="I521" s="22"/>
    </row>
    <row r="522" customFormat="false" ht="15" hidden="false" customHeight="false" outlineLevel="0" collapsed="false">
      <c r="I522" s="22"/>
    </row>
    <row r="523" customFormat="false" ht="15" hidden="false" customHeight="false" outlineLevel="0" collapsed="false">
      <c r="I523" s="22"/>
    </row>
    <row r="524" customFormat="false" ht="15" hidden="false" customHeight="false" outlineLevel="0" collapsed="false">
      <c r="I524" s="22"/>
    </row>
    <row r="525" customFormat="false" ht="15" hidden="false" customHeight="false" outlineLevel="0" collapsed="false">
      <c r="I525" s="22"/>
    </row>
    <row r="526" customFormat="false" ht="15" hidden="false" customHeight="false" outlineLevel="0" collapsed="false">
      <c r="I526" s="22"/>
    </row>
    <row r="527" customFormat="false" ht="15" hidden="false" customHeight="false" outlineLevel="0" collapsed="false">
      <c r="I527" s="22"/>
    </row>
    <row r="528" customFormat="false" ht="15" hidden="false" customHeight="false" outlineLevel="0" collapsed="false">
      <c r="I528" s="22"/>
    </row>
    <row r="529" customFormat="false" ht="15" hidden="false" customHeight="false" outlineLevel="0" collapsed="false">
      <c r="I529" s="22"/>
    </row>
    <row r="530" customFormat="false" ht="15" hidden="false" customHeight="false" outlineLevel="0" collapsed="false">
      <c r="I530" s="22"/>
    </row>
    <row r="531" customFormat="false" ht="15" hidden="false" customHeight="false" outlineLevel="0" collapsed="false">
      <c r="I531" s="22"/>
    </row>
    <row r="532" customFormat="false" ht="15" hidden="false" customHeight="false" outlineLevel="0" collapsed="false">
      <c r="I532" s="22"/>
    </row>
    <row r="533" customFormat="false" ht="15" hidden="false" customHeight="false" outlineLevel="0" collapsed="false">
      <c r="I533" s="22"/>
    </row>
    <row r="534" customFormat="false" ht="15" hidden="false" customHeight="false" outlineLevel="0" collapsed="false">
      <c r="I534" s="22"/>
    </row>
    <row r="535" customFormat="false" ht="15" hidden="false" customHeight="false" outlineLevel="0" collapsed="false">
      <c r="I535" s="22"/>
    </row>
    <row r="536" customFormat="false" ht="15" hidden="false" customHeight="false" outlineLevel="0" collapsed="false">
      <c r="I536" s="22"/>
    </row>
    <row r="537" customFormat="false" ht="15" hidden="false" customHeight="false" outlineLevel="0" collapsed="false">
      <c r="I537" s="22"/>
    </row>
    <row r="538" customFormat="false" ht="15" hidden="false" customHeight="false" outlineLevel="0" collapsed="false">
      <c r="I538" s="22"/>
    </row>
    <row r="539" customFormat="false" ht="15" hidden="false" customHeight="false" outlineLevel="0" collapsed="false">
      <c r="I539" s="22"/>
    </row>
    <row r="540" customFormat="false" ht="15" hidden="false" customHeight="false" outlineLevel="0" collapsed="false">
      <c r="I540" s="22"/>
    </row>
    <row r="541" customFormat="false" ht="15" hidden="false" customHeight="false" outlineLevel="0" collapsed="false">
      <c r="I541" s="22"/>
    </row>
    <row r="542" customFormat="false" ht="15" hidden="false" customHeight="false" outlineLevel="0" collapsed="false">
      <c r="I542" s="22"/>
    </row>
    <row r="543" customFormat="false" ht="15" hidden="false" customHeight="false" outlineLevel="0" collapsed="false">
      <c r="I543" s="22"/>
    </row>
    <row r="544" customFormat="false" ht="15" hidden="false" customHeight="false" outlineLevel="0" collapsed="false">
      <c r="I544" s="22"/>
    </row>
    <row r="545" customFormat="false" ht="15" hidden="false" customHeight="false" outlineLevel="0" collapsed="false">
      <c r="I545" s="22"/>
    </row>
    <row r="546" customFormat="false" ht="15" hidden="false" customHeight="false" outlineLevel="0" collapsed="false">
      <c r="I546" s="22"/>
    </row>
    <row r="547" customFormat="false" ht="15" hidden="false" customHeight="false" outlineLevel="0" collapsed="false">
      <c r="I547" s="22"/>
    </row>
    <row r="548" customFormat="false" ht="15" hidden="false" customHeight="false" outlineLevel="0" collapsed="false">
      <c r="I548" s="22"/>
    </row>
    <row r="549" customFormat="false" ht="15" hidden="false" customHeight="false" outlineLevel="0" collapsed="false">
      <c r="I549" s="22"/>
    </row>
    <row r="550" customFormat="false" ht="15" hidden="false" customHeight="false" outlineLevel="0" collapsed="false">
      <c r="I550" s="22"/>
    </row>
    <row r="551" customFormat="false" ht="15" hidden="false" customHeight="false" outlineLevel="0" collapsed="false">
      <c r="I551" s="22"/>
    </row>
    <row r="552" customFormat="false" ht="15" hidden="false" customHeight="false" outlineLevel="0" collapsed="false">
      <c r="I552" s="22"/>
    </row>
    <row r="553" customFormat="false" ht="15" hidden="false" customHeight="false" outlineLevel="0" collapsed="false">
      <c r="I553" s="22"/>
    </row>
    <row r="554" customFormat="false" ht="15" hidden="false" customHeight="false" outlineLevel="0" collapsed="false">
      <c r="I554" s="22"/>
    </row>
    <row r="555" customFormat="false" ht="15" hidden="false" customHeight="false" outlineLevel="0" collapsed="false">
      <c r="I555" s="22"/>
    </row>
    <row r="556" customFormat="false" ht="15" hidden="false" customHeight="false" outlineLevel="0" collapsed="false">
      <c r="I556" s="22"/>
    </row>
    <row r="557" customFormat="false" ht="15" hidden="false" customHeight="false" outlineLevel="0" collapsed="false">
      <c r="I557" s="22"/>
    </row>
    <row r="558" customFormat="false" ht="15" hidden="false" customHeight="false" outlineLevel="0" collapsed="false">
      <c r="I558" s="22"/>
    </row>
    <row r="559" customFormat="false" ht="15" hidden="false" customHeight="false" outlineLevel="0" collapsed="false">
      <c r="I559" s="22"/>
    </row>
    <row r="560" customFormat="false" ht="15" hidden="false" customHeight="false" outlineLevel="0" collapsed="false">
      <c r="I560" s="22"/>
    </row>
    <row r="561" customFormat="false" ht="15" hidden="false" customHeight="false" outlineLevel="0" collapsed="false">
      <c r="I561" s="22"/>
    </row>
    <row r="562" customFormat="false" ht="15" hidden="false" customHeight="false" outlineLevel="0" collapsed="false">
      <c r="I562" s="22"/>
    </row>
    <row r="563" customFormat="false" ht="15" hidden="false" customHeight="false" outlineLevel="0" collapsed="false">
      <c r="I563" s="22"/>
    </row>
    <row r="564" customFormat="false" ht="15" hidden="false" customHeight="false" outlineLevel="0" collapsed="false">
      <c r="I564" s="22"/>
    </row>
    <row r="565" customFormat="false" ht="15" hidden="false" customHeight="false" outlineLevel="0" collapsed="false">
      <c r="I565" s="22"/>
    </row>
    <row r="566" customFormat="false" ht="15" hidden="false" customHeight="false" outlineLevel="0" collapsed="false">
      <c r="I566" s="22"/>
    </row>
    <row r="567" customFormat="false" ht="15" hidden="false" customHeight="false" outlineLevel="0" collapsed="false">
      <c r="I567" s="22"/>
    </row>
    <row r="568" customFormat="false" ht="15" hidden="false" customHeight="false" outlineLevel="0" collapsed="false">
      <c r="I568" s="22"/>
    </row>
    <row r="569" customFormat="false" ht="15" hidden="false" customHeight="false" outlineLevel="0" collapsed="false">
      <c r="I569" s="22"/>
    </row>
    <row r="570" customFormat="false" ht="15" hidden="false" customHeight="false" outlineLevel="0" collapsed="false">
      <c r="I570" s="22"/>
    </row>
    <row r="571" customFormat="false" ht="15" hidden="false" customHeight="false" outlineLevel="0" collapsed="false">
      <c r="I571" s="22"/>
    </row>
    <row r="572" customFormat="false" ht="15" hidden="false" customHeight="false" outlineLevel="0" collapsed="false">
      <c r="I572" s="22"/>
    </row>
    <row r="573" customFormat="false" ht="15" hidden="false" customHeight="false" outlineLevel="0" collapsed="false">
      <c r="I573" s="22"/>
    </row>
    <row r="574" customFormat="false" ht="15" hidden="false" customHeight="false" outlineLevel="0" collapsed="false">
      <c r="I574" s="22"/>
    </row>
    <row r="575" customFormat="false" ht="15" hidden="false" customHeight="false" outlineLevel="0" collapsed="false">
      <c r="I575" s="22"/>
    </row>
    <row r="576" customFormat="false" ht="15" hidden="false" customHeight="false" outlineLevel="0" collapsed="false">
      <c r="I576" s="22"/>
    </row>
    <row r="577" customFormat="false" ht="15" hidden="false" customHeight="false" outlineLevel="0" collapsed="false">
      <c r="I577" s="22"/>
    </row>
    <row r="578" customFormat="false" ht="15" hidden="false" customHeight="false" outlineLevel="0" collapsed="false">
      <c r="I578" s="22"/>
    </row>
    <row r="579" customFormat="false" ht="15" hidden="false" customHeight="false" outlineLevel="0" collapsed="false">
      <c r="I579" s="22"/>
    </row>
    <row r="580" customFormat="false" ht="15" hidden="false" customHeight="false" outlineLevel="0" collapsed="false">
      <c r="I580" s="22"/>
    </row>
    <row r="581" customFormat="false" ht="15" hidden="false" customHeight="false" outlineLevel="0" collapsed="false">
      <c r="I581" s="22"/>
    </row>
    <row r="582" customFormat="false" ht="15" hidden="false" customHeight="false" outlineLevel="0" collapsed="false">
      <c r="I582" s="22"/>
    </row>
    <row r="583" customFormat="false" ht="15" hidden="false" customHeight="false" outlineLevel="0" collapsed="false">
      <c r="I583" s="22"/>
    </row>
    <row r="584" customFormat="false" ht="15" hidden="false" customHeight="false" outlineLevel="0" collapsed="false">
      <c r="I584" s="22"/>
    </row>
    <row r="585" customFormat="false" ht="15" hidden="false" customHeight="false" outlineLevel="0" collapsed="false">
      <c r="I585" s="22"/>
    </row>
    <row r="586" customFormat="false" ht="15" hidden="false" customHeight="false" outlineLevel="0" collapsed="false">
      <c r="I586" s="22"/>
    </row>
    <row r="587" customFormat="false" ht="15" hidden="false" customHeight="false" outlineLevel="0" collapsed="false">
      <c r="I587" s="22"/>
    </row>
    <row r="588" customFormat="false" ht="15" hidden="false" customHeight="false" outlineLevel="0" collapsed="false">
      <c r="I588" s="22"/>
    </row>
    <row r="589" customFormat="false" ht="15" hidden="false" customHeight="false" outlineLevel="0" collapsed="false">
      <c r="I589" s="22"/>
    </row>
    <row r="590" customFormat="false" ht="15" hidden="false" customHeight="false" outlineLevel="0" collapsed="false">
      <c r="I590" s="22"/>
    </row>
    <row r="591" customFormat="false" ht="15" hidden="false" customHeight="false" outlineLevel="0" collapsed="false">
      <c r="I591" s="22"/>
    </row>
    <row r="592" customFormat="false" ht="15" hidden="false" customHeight="false" outlineLevel="0" collapsed="false">
      <c r="I592" s="22"/>
    </row>
    <row r="593" customFormat="false" ht="15" hidden="false" customHeight="false" outlineLevel="0" collapsed="false">
      <c r="I593" s="22"/>
    </row>
    <row r="594" customFormat="false" ht="15" hidden="false" customHeight="false" outlineLevel="0" collapsed="false">
      <c r="I594" s="22"/>
    </row>
    <row r="595" customFormat="false" ht="15" hidden="false" customHeight="false" outlineLevel="0" collapsed="false">
      <c r="I595" s="22"/>
    </row>
    <row r="596" customFormat="false" ht="15" hidden="false" customHeight="false" outlineLevel="0" collapsed="false">
      <c r="I596" s="22"/>
    </row>
    <row r="597" customFormat="false" ht="15" hidden="false" customHeight="false" outlineLevel="0" collapsed="false">
      <c r="I597" s="22"/>
    </row>
    <row r="598" customFormat="false" ht="15" hidden="false" customHeight="false" outlineLevel="0" collapsed="false">
      <c r="I598" s="22"/>
    </row>
    <row r="599" customFormat="false" ht="15" hidden="false" customHeight="false" outlineLevel="0" collapsed="false">
      <c r="I599" s="22"/>
    </row>
    <row r="600" customFormat="false" ht="15" hidden="false" customHeight="false" outlineLevel="0" collapsed="false">
      <c r="I600" s="22"/>
    </row>
    <row r="601" customFormat="false" ht="15" hidden="false" customHeight="false" outlineLevel="0" collapsed="false">
      <c r="I601" s="22"/>
    </row>
    <row r="602" customFormat="false" ht="15" hidden="false" customHeight="false" outlineLevel="0" collapsed="false">
      <c r="I602" s="22"/>
    </row>
    <row r="603" customFormat="false" ht="15" hidden="false" customHeight="false" outlineLevel="0" collapsed="false">
      <c r="I603" s="22"/>
    </row>
    <row r="604" customFormat="false" ht="15" hidden="false" customHeight="false" outlineLevel="0" collapsed="false">
      <c r="I604" s="22"/>
    </row>
    <row r="605" customFormat="false" ht="15" hidden="false" customHeight="false" outlineLevel="0" collapsed="false">
      <c r="I605" s="22"/>
    </row>
    <row r="606" customFormat="false" ht="15" hidden="false" customHeight="false" outlineLevel="0" collapsed="false">
      <c r="I606" s="22"/>
    </row>
    <row r="607" customFormat="false" ht="15" hidden="false" customHeight="false" outlineLevel="0" collapsed="false">
      <c r="I607" s="22"/>
    </row>
    <row r="608" customFormat="false" ht="15" hidden="false" customHeight="false" outlineLevel="0" collapsed="false">
      <c r="I608" s="22"/>
    </row>
    <row r="609" customFormat="false" ht="15" hidden="false" customHeight="false" outlineLevel="0" collapsed="false">
      <c r="I609" s="22"/>
    </row>
    <row r="610" customFormat="false" ht="15" hidden="false" customHeight="false" outlineLevel="0" collapsed="false">
      <c r="I610" s="22"/>
    </row>
    <row r="611" customFormat="false" ht="15" hidden="false" customHeight="false" outlineLevel="0" collapsed="false">
      <c r="I611" s="22"/>
    </row>
    <row r="612" customFormat="false" ht="15" hidden="false" customHeight="false" outlineLevel="0" collapsed="false">
      <c r="I612" s="22"/>
    </row>
    <row r="613" customFormat="false" ht="15" hidden="false" customHeight="false" outlineLevel="0" collapsed="false">
      <c r="I613" s="22"/>
    </row>
    <row r="614" customFormat="false" ht="15" hidden="false" customHeight="false" outlineLevel="0" collapsed="false">
      <c r="I614" s="22"/>
    </row>
    <row r="615" customFormat="false" ht="15" hidden="false" customHeight="false" outlineLevel="0" collapsed="false">
      <c r="I615" s="22"/>
    </row>
    <row r="616" customFormat="false" ht="15" hidden="false" customHeight="false" outlineLevel="0" collapsed="false">
      <c r="I616" s="22"/>
    </row>
    <row r="617" customFormat="false" ht="15" hidden="false" customHeight="false" outlineLevel="0" collapsed="false">
      <c r="I617" s="22"/>
    </row>
    <row r="618" customFormat="false" ht="15" hidden="false" customHeight="false" outlineLevel="0" collapsed="false">
      <c r="I618" s="22"/>
    </row>
    <row r="619" customFormat="false" ht="15" hidden="false" customHeight="false" outlineLevel="0" collapsed="false">
      <c r="I619" s="22"/>
    </row>
    <row r="620" customFormat="false" ht="15" hidden="false" customHeight="false" outlineLevel="0" collapsed="false">
      <c r="I620" s="22"/>
    </row>
    <row r="621" customFormat="false" ht="15" hidden="false" customHeight="false" outlineLevel="0" collapsed="false">
      <c r="I621" s="22"/>
    </row>
    <row r="622" customFormat="false" ht="15" hidden="false" customHeight="false" outlineLevel="0" collapsed="false">
      <c r="I622" s="22"/>
    </row>
    <row r="623" customFormat="false" ht="15" hidden="false" customHeight="false" outlineLevel="0" collapsed="false">
      <c r="I623" s="22"/>
    </row>
    <row r="624" customFormat="false" ht="15" hidden="false" customHeight="false" outlineLevel="0" collapsed="false">
      <c r="I624" s="22"/>
    </row>
    <row r="625" customFormat="false" ht="15" hidden="false" customHeight="false" outlineLevel="0" collapsed="false">
      <c r="I625" s="22"/>
    </row>
    <row r="626" customFormat="false" ht="15" hidden="false" customHeight="false" outlineLevel="0" collapsed="false">
      <c r="I626" s="22"/>
    </row>
    <row r="627" customFormat="false" ht="15" hidden="false" customHeight="false" outlineLevel="0" collapsed="false">
      <c r="I627" s="22"/>
    </row>
    <row r="628" customFormat="false" ht="15" hidden="false" customHeight="false" outlineLevel="0" collapsed="false">
      <c r="I628" s="22"/>
    </row>
    <row r="629" customFormat="false" ht="15" hidden="false" customHeight="false" outlineLevel="0" collapsed="false">
      <c r="I629" s="22"/>
    </row>
    <row r="630" customFormat="false" ht="15" hidden="false" customHeight="false" outlineLevel="0" collapsed="false">
      <c r="I630" s="22"/>
    </row>
    <row r="631" customFormat="false" ht="15" hidden="false" customHeight="false" outlineLevel="0" collapsed="false">
      <c r="I631" s="22"/>
    </row>
    <row r="632" customFormat="false" ht="15" hidden="false" customHeight="false" outlineLevel="0" collapsed="false">
      <c r="I632" s="22"/>
    </row>
    <row r="633" customFormat="false" ht="15" hidden="false" customHeight="false" outlineLevel="0" collapsed="false">
      <c r="I633" s="22"/>
    </row>
    <row r="634" customFormat="false" ht="15" hidden="false" customHeight="false" outlineLevel="0" collapsed="false">
      <c r="I634" s="22"/>
    </row>
    <row r="635" customFormat="false" ht="15" hidden="false" customHeight="false" outlineLevel="0" collapsed="false">
      <c r="I635" s="22"/>
    </row>
    <row r="636" customFormat="false" ht="15" hidden="false" customHeight="false" outlineLevel="0" collapsed="false">
      <c r="I636" s="22"/>
    </row>
    <row r="637" customFormat="false" ht="15" hidden="false" customHeight="false" outlineLevel="0" collapsed="false">
      <c r="I637" s="22"/>
    </row>
    <row r="638" customFormat="false" ht="15" hidden="false" customHeight="false" outlineLevel="0" collapsed="false">
      <c r="I638" s="22"/>
    </row>
    <row r="639" customFormat="false" ht="15" hidden="false" customHeight="false" outlineLevel="0" collapsed="false">
      <c r="I639" s="22"/>
    </row>
    <row r="640" customFormat="false" ht="15" hidden="false" customHeight="false" outlineLevel="0" collapsed="false">
      <c r="I640" s="22"/>
    </row>
    <row r="641" customFormat="false" ht="15" hidden="false" customHeight="false" outlineLevel="0" collapsed="false">
      <c r="I641" s="22"/>
    </row>
    <row r="642" customFormat="false" ht="15" hidden="false" customHeight="false" outlineLevel="0" collapsed="false">
      <c r="I642" s="22"/>
    </row>
    <row r="643" customFormat="false" ht="15" hidden="false" customHeight="false" outlineLevel="0" collapsed="false">
      <c r="I643" s="22"/>
    </row>
    <row r="644" customFormat="false" ht="15" hidden="false" customHeight="false" outlineLevel="0" collapsed="false">
      <c r="I644" s="22"/>
    </row>
    <row r="645" customFormat="false" ht="15" hidden="false" customHeight="false" outlineLevel="0" collapsed="false">
      <c r="I645" s="22"/>
    </row>
    <row r="646" customFormat="false" ht="15" hidden="false" customHeight="false" outlineLevel="0" collapsed="false">
      <c r="I646" s="22"/>
    </row>
    <row r="647" customFormat="false" ht="15" hidden="false" customHeight="false" outlineLevel="0" collapsed="false">
      <c r="I647" s="22"/>
    </row>
    <row r="648" customFormat="false" ht="15" hidden="false" customHeight="false" outlineLevel="0" collapsed="false">
      <c r="I648" s="22"/>
    </row>
    <row r="649" customFormat="false" ht="15" hidden="false" customHeight="false" outlineLevel="0" collapsed="false">
      <c r="I649" s="22"/>
    </row>
    <row r="650" customFormat="false" ht="15" hidden="false" customHeight="false" outlineLevel="0" collapsed="false">
      <c r="I650" s="22"/>
    </row>
    <row r="651" customFormat="false" ht="15" hidden="false" customHeight="false" outlineLevel="0" collapsed="false">
      <c r="I651" s="22"/>
    </row>
    <row r="652" customFormat="false" ht="15" hidden="false" customHeight="false" outlineLevel="0" collapsed="false">
      <c r="I652" s="22"/>
    </row>
    <row r="653" customFormat="false" ht="15" hidden="false" customHeight="false" outlineLevel="0" collapsed="false">
      <c r="I653" s="22"/>
    </row>
    <row r="654" customFormat="false" ht="15" hidden="false" customHeight="false" outlineLevel="0" collapsed="false">
      <c r="I654" s="22"/>
    </row>
    <row r="655" customFormat="false" ht="15" hidden="false" customHeight="false" outlineLevel="0" collapsed="false">
      <c r="I655" s="22"/>
    </row>
    <row r="656" customFormat="false" ht="15" hidden="false" customHeight="false" outlineLevel="0" collapsed="false">
      <c r="I656" s="22"/>
    </row>
    <row r="657" customFormat="false" ht="15" hidden="false" customHeight="false" outlineLevel="0" collapsed="false">
      <c r="I657" s="22"/>
    </row>
    <row r="658" customFormat="false" ht="15" hidden="false" customHeight="false" outlineLevel="0" collapsed="false">
      <c r="I658" s="22"/>
    </row>
    <row r="659" customFormat="false" ht="15" hidden="false" customHeight="false" outlineLevel="0" collapsed="false">
      <c r="I659" s="22"/>
    </row>
    <row r="660" customFormat="false" ht="15" hidden="false" customHeight="false" outlineLevel="0" collapsed="false">
      <c r="I660" s="22"/>
    </row>
    <row r="661" customFormat="false" ht="15" hidden="false" customHeight="false" outlineLevel="0" collapsed="false">
      <c r="I661" s="22"/>
    </row>
    <row r="662" customFormat="false" ht="15" hidden="false" customHeight="false" outlineLevel="0" collapsed="false">
      <c r="I662" s="22"/>
    </row>
    <row r="663" customFormat="false" ht="15" hidden="false" customHeight="false" outlineLevel="0" collapsed="false">
      <c r="I663" s="22"/>
    </row>
    <row r="664" customFormat="false" ht="15" hidden="false" customHeight="false" outlineLevel="0" collapsed="false">
      <c r="I664" s="22"/>
    </row>
    <row r="665" customFormat="false" ht="15" hidden="false" customHeight="false" outlineLevel="0" collapsed="false">
      <c r="I665" s="22"/>
    </row>
    <row r="666" customFormat="false" ht="15" hidden="false" customHeight="false" outlineLevel="0" collapsed="false">
      <c r="I666" s="22"/>
    </row>
    <row r="667" customFormat="false" ht="15" hidden="false" customHeight="false" outlineLevel="0" collapsed="false">
      <c r="I667" s="22"/>
    </row>
    <row r="668" customFormat="false" ht="15" hidden="false" customHeight="false" outlineLevel="0" collapsed="false">
      <c r="I668" s="22"/>
    </row>
    <row r="669" customFormat="false" ht="15" hidden="false" customHeight="false" outlineLevel="0" collapsed="false">
      <c r="I669" s="22"/>
    </row>
    <row r="670" customFormat="false" ht="15" hidden="false" customHeight="false" outlineLevel="0" collapsed="false">
      <c r="I670" s="22"/>
    </row>
    <row r="671" customFormat="false" ht="15" hidden="false" customHeight="false" outlineLevel="0" collapsed="false">
      <c r="I671" s="22"/>
    </row>
    <row r="672" customFormat="false" ht="15" hidden="false" customHeight="false" outlineLevel="0" collapsed="false">
      <c r="I672" s="22"/>
    </row>
    <row r="673" customFormat="false" ht="15" hidden="false" customHeight="false" outlineLevel="0" collapsed="false">
      <c r="I673" s="22"/>
    </row>
    <row r="674" customFormat="false" ht="15" hidden="false" customHeight="false" outlineLevel="0" collapsed="false">
      <c r="I674" s="22"/>
    </row>
    <row r="675" customFormat="false" ht="15" hidden="false" customHeight="false" outlineLevel="0" collapsed="false">
      <c r="I675" s="22"/>
    </row>
    <row r="676" customFormat="false" ht="15" hidden="false" customHeight="false" outlineLevel="0" collapsed="false">
      <c r="I676" s="22"/>
    </row>
    <row r="677" customFormat="false" ht="15" hidden="false" customHeight="false" outlineLevel="0" collapsed="false">
      <c r="I677" s="22"/>
    </row>
    <row r="678" customFormat="false" ht="15" hidden="false" customHeight="false" outlineLevel="0" collapsed="false">
      <c r="I678" s="22"/>
    </row>
    <row r="679" customFormat="false" ht="15" hidden="false" customHeight="false" outlineLevel="0" collapsed="false">
      <c r="I679" s="22"/>
    </row>
    <row r="680" customFormat="false" ht="15" hidden="false" customHeight="false" outlineLevel="0" collapsed="false">
      <c r="I680" s="22"/>
    </row>
    <row r="681" customFormat="false" ht="15" hidden="false" customHeight="false" outlineLevel="0" collapsed="false">
      <c r="I681" s="22"/>
    </row>
    <row r="682" customFormat="false" ht="15" hidden="false" customHeight="false" outlineLevel="0" collapsed="false">
      <c r="I682" s="22"/>
    </row>
    <row r="683" customFormat="false" ht="15" hidden="false" customHeight="false" outlineLevel="0" collapsed="false">
      <c r="I683" s="22"/>
    </row>
    <row r="684" customFormat="false" ht="15" hidden="false" customHeight="false" outlineLevel="0" collapsed="false">
      <c r="I684" s="22"/>
    </row>
    <row r="685" customFormat="false" ht="15" hidden="false" customHeight="false" outlineLevel="0" collapsed="false">
      <c r="I685" s="22"/>
    </row>
    <row r="686" customFormat="false" ht="15" hidden="false" customHeight="false" outlineLevel="0" collapsed="false">
      <c r="I686" s="22"/>
    </row>
    <row r="687" customFormat="false" ht="15" hidden="false" customHeight="false" outlineLevel="0" collapsed="false">
      <c r="I687" s="22"/>
    </row>
    <row r="688" customFormat="false" ht="15" hidden="false" customHeight="false" outlineLevel="0" collapsed="false">
      <c r="I688" s="22"/>
    </row>
    <row r="689" customFormat="false" ht="15" hidden="false" customHeight="false" outlineLevel="0" collapsed="false">
      <c r="I689" s="22"/>
    </row>
    <row r="690" customFormat="false" ht="15" hidden="false" customHeight="false" outlineLevel="0" collapsed="false">
      <c r="I690" s="22"/>
    </row>
    <row r="691" customFormat="false" ht="15" hidden="false" customHeight="false" outlineLevel="0" collapsed="false">
      <c r="I691" s="22"/>
    </row>
    <row r="692" customFormat="false" ht="15" hidden="false" customHeight="false" outlineLevel="0" collapsed="false">
      <c r="I692" s="22"/>
    </row>
    <row r="693" customFormat="false" ht="15" hidden="false" customHeight="false" outlineLevel="0" collapsed="false">
      <c r="I693" s="22"/>
    </row>
    <row r="694" customFormat="false" ht="15" hidden="false" customHeight="false" outlineLevel="0" collapsed="false">
      <c r="I694" s="22"/>
    </row>
    <row r="695" customFormat="false" ht="15" hidden="false" customHeight="false" outlineLevel="0" collapsed="false">
      <c r="I695" s="22"/>
    </row>
    <row r="696" customFormat="false" ht="15" hidden="false" customHeight="false" outlineLevel="0" collapsed="false">
      <c r="I696" s="22"/>
    </row>
    <row r="697" customFormat="false" ht="15" hidden="false" customHeight="false" outlineLevel="0" collapsed="false">
      <c r="I697" s="22"/>
    </row>
    <row r="698" customFormat="false" ht="15" hidden="false" customHeight="false" outlineLevel="0" collapsed="false">
      <c r="I698" s="22"/>
    </row>
    <row r="699" customFormat="false" ht="15" hidden="false" customHeight="false" outlineLevel="0" collapsed="false">
      <c r="I699" s="22"/>
    </row>
    <row r="700" customFormat="false" ht="15" hidden="false" customHeight="false" outlineLevel="0" collapsed="false">
      <c r="I700" s="22"/>
    </row>
    <row r="701" customFormat="false" ht="15" hidden="false" customHeight="false" outlineLevel="0" collapsed="false">
      <c r="I701" s="22"/>
    </row>
    <row r="702" customFormat="false" ht="15" hidden="false" customHeight="false" outlineLevel="0" collapsed="false">
      <c r="I702" s="22"/>
    </row>
    <row r="703" customFormat="false" ht="15" hidden="false" customHeight="false" outlineLevel="0" collapsed="false">
      <c r="I703" s="22"/>
    </row>
    <row r="704" customFormat="false" ht="15" hidden="false" customHeight="false" outlineLevel="0" collapsed="false">
      <c r="I704" s="22"/>
    </row>
    <row r="705" customFormat="false" ht="15" hidden="false" customHeight="false" outlineLevel="0" collapsed="false">
      <c r="I705" s="22"/>
    </row>
    <row r="706" customFormat="false" ht="15" hidden="false" customHeight="false" outlineLevel="0" collapsed="false">
      <c r="I706" s="22"/>
    </row>
    <row r="707" customFormat="false" ht="15" hidden="false" customHeight="false" outlineLevel="0" collapsed="false">
      <c r="I707" s="22"/>
    </row>
    <row r="708" customFormat="false" ht="15" hidden="false" customHeight="false" outlineLevel="0" collapsed="false">
      <c r="I708" s="22"/>
    </row>
    <row r="709" customFormat="false" ht="15" hidden="false" customHeight="false" outlineLevel="0" collapsed="false">
      <c r="I709" s="22"/>
    </row>
    <row r="710" customFormat="false" ht="15" hidden="false" customHeight="false" outlineLevel="0" collapsed="false">
      <c r="I710" s="22"/>
    </row>
    <row r="711" customFormat="false" ht="15" hidden="false" customHeight="false" outlineLevel="0" collapsed="false">
      <c r="I711" s="22"/>
    </row>
    <row r="712" customFormat="false" ht="15" hidden="false" customHeight="false" outlineLevel="0" collapsed="false">
      <c r="I712" s="22"/>
    </row>
    <row r="713" customFormat="false" ht="15" hidden="false" customHeight="false" outlineLevel="0" collapsed="false">
      <c r="I713" s="22"/>
    </row>
    <row r="714" customFormat="false" ht="15" hidden="false" customHeight="false" outlineLevel="0" collapsed="false">
      <c r="I714" s="22"/>
    </row>
    <row r="715" customFormat="false" ht="15" hidden="false" customHeight="false" outlineLevel="0" collapsed="false">
      <c r="I715" s="22"/>
    </row>
    <row r="716" customFormat="false" ht="15" hidden="false" customHeight="false" outlineLevel="0" collapsed="false">
      <c r="I716" s="22"/>
    </row>
    <row r="717" customFormat="false" ht="15" hidden="false" customHeight="false" outlineLevel="0" collapsed="false">
      <c r="I717" s="22"/>
    </row>
    <row r="718" customFormat="false" ht="15" hidden="false" customHeight="false" outlineLevel="0" collapsed="false">
      <c r="I718" s="22"/>
    </row>
    <row r="719" customFormat="false" ht="15" hidden="false" customHeight="false" outlineLevel="0" collapsed="false">
      <c r="I719" s="22"/>
    </row>
    <row r="720" customFormat="false" ht="15" hidden="false" customHeight="false" outlineLevel="0" collapsed="false">
      <c r="I720" s="22"/>
    </row>
    <row r="721" customFormat="false" ht="15" hidden="false" customHeight="false" outlineLevel="0" collapsed="false">
      <c r="I721" s="22"/>
    </row>
    <row r="722" customFormat="false" ht="15" hidden="false" customHeight="false" outlineLevel="0" collapsed="false">
      <c r="I722" s="22"/>
    </row>
    <row r="723" customFormat="false" ht="15" hidden="false" customHeight="false" outlineLevel="0" collapsed="false">
      <c r="I723" s="22"/>
    </row>
    <row r="724" customFormat="false" ht="15" hidden="false" customHeight="false" outlineLevel="0" collapsed="false">
      <c r="I724" s="22"/>
    </row>
    <row r="725" customFormat="false" ht="15" hidden="false" customHeight="false" outlineLevel="0" collapsed="false">
      <c r="I725" s="22"/>
    </row>
    <row r="726" customFormat="false" ht="15" hidden="false" customHeight="false" outlineLevel="0" collapsed="false">
      <c r="I726" s="22"/>
    </row>
    <row r="727" customFormat="false" ht="15" hidden="false" customHeight="false" outlineLevel="0" collapsed="false">
      <c r="I727" s="22"/>
    </row>
    <row r="728" customFormat="false" ht="15" hidden="false" customHeight="false" outlineLevel="0" collapsed="false">
      <c r="I728" s="22"/>
    </row>
    <row r="729" customFormat="false" ht="15" hidden="false" customHeight="false" outlineLevel="0" collapsed="false">
      <c r="I729" s="22"/>
    </row>
    <row r="730" customFormat="false" ht="15" hidden="false" customHeight="false" outlineLevel="0" collapsed="false">
      <c r="I730" s="22"/>
    </row>
    <row r="731" customFormat="false" ht="15" hidden="false" customHeight="false" outlineLevel="0" collapsed="false">
      <c r="I731" s="22"/>
    </row>
    <row r="732" customFormat="false" ht="15" hidden="false" customHeight="false" outlineLevel="0" collapsed="false">
      <c r="I732" s="22"/>
    </row>
    <row r="733" customFormat="false" ht="15" hidden="false" customHeight="false" outlineLevel="0" collapsed="false">
      <c r="I733" s="22"/>
    </row>
    <row r="734" customFormat="false" ht="15" hidden="false" customHeight="false" outlineLevel="0" collapsed="false">
      <c r="I734" s="22"/>
    </row>
    <row r="735" customFormat="false" ht="15" hidden="false" customHeight="false" outlineLevel="0" collapsed="false">
      <c r="I735" s="22"/>
    </row>
    <row r="736" customFormat="false" ht="15" hidden="false" customHeight="false" outlineLevel="0" collapsed="false">
      <c r="I736" s="22"/>
    </row>
    <row r="737" customFormat="false" ht="15" hidden="false" customHeight="false" outlineLevel="0" collapsed="false">
      <c r="I737" s="22"/>
    </row>
    <row r="738" customFormat="false" ht="15" hidden="false" customHeight="false" outlineLevel="0" collapsed="false">
      <c r="I738" s="22"/>
    </row>
    <row r="739" customFormat="false" ht="15" hidden="false" customHeight="false" outlineLevel="0" collapsed="false">
      <c r="I739" s="22"/>
    </row>
    <row r="740" customFormat="false" ht="15" hidden="false" customHeight="false" outlineLevel="0" collapsed="false">
      <c r="I740" s="22"/>
    </row>
    <row r="741" customFormat="false" ht="15" hidden="false" customHeight="false" outlineLevel="0" collapsed="false">
      <c r="I741" s="22"/>
    </row>
    <row r="742" customFormat="false" ht="15" hidden="false" customHeight="false" outlineLevel="0" collapsed="false">
      <c r="I742" s="22"/>
    </row>
    <row r="743" customFormat="false" ht="15" hidden="false" customHeight="false" outlineLevel="0" collapsed="false">
      <c r="I743" s="22"/>
    </row>
    <row r="744" customFormat="false" ht="15" hidden="false" customHeight="false" outlineLevel="0" collapsed="false">
      <c r="I744" s="22"/>
    </row>
    <row r="745" customFormat="false" ht="15" hidden="false" customHeight="false" outlineLevel="0" collapsed="false">
      <c r="I745" s="22"/>
    </row>
    <row r="746" customFormat="false" ht="15" hidden="false" customHeight="false" outlineLevel="0" collapsed="false">
      <c r="I746" s="22"/>
    </row>
    <row r="747" customFormat="false" ht="15" hidden="false" customHeight="false" outlineLevel="0" collapsed="false">
      <c r="I747" s="22"/>
    </row>
    <row r="748" customFormat="false" ht="15" hidden="false" customHeight="false" outlineLevel="0" collapsed="false">
      <c r="I748" s="22"/>
    </row>
    <row r="749" customFormat="false" ht="15" hidden="false" customHeight="false" outlineLevel="0" collapsed="false">
      <c r="I749" s="22"/>
    </row>
    <row r="750" customFormat="false" ht="15" hidden="false" customHeight="false" outlineLevel="0" collapsed="false">
      <c r="I750" s="22"/>
    </row>
    <row r="751" customFormat="false" ht="15" hidden="false" customHeight="false" outlineLevel="0" collapsed="false">
      <c r="I751" s="22"/>
    </row>
    <row r="752" customFormat="false" ht="15" hidden="false" customHeight="false" outlineLevel="0" collapsed="false">
      <c r="I752" s="22"/>
    </row>
    <row r="753" customFormat="false" ht="15" hidden="false" customHeight="false" outlineLevel="0" collapsed="false">
      <c r="I753" s="22"/>
    </row>
    <row r="754" customFormat="false" ht="15" hidden="false" customHeight="false" outlineLevel="0" collapsed="false">
      <c r="I754" s="22"/>
    </row>
    <row r="755" customFormat="false" ht="15" hidden="false" customHeight="false" outlineLevel="0" collapsed="false">
      <c r="I755" s="22"/>
    </row>
    <row r="756" customFormat="false" ht="15" hidden="false" customHeight="false" outlineLevel="0" collapsed="false">
      <c r="I756" s="22"/>
    </row>
    <row r="757" customFormat="false" ht="15" hidden="false" customHeight="false" outlineLevel="0" collapsed="false">
      <c r="I757" s="22"/>
    </row>
    <row r="758" customFormat="false" ht="15" hidden="false" customHeight="false" outlineLevel="0" collapsed="false">
      <c r="I758" s="22"/>
    </row>
    <row r="759" customFormat="false" ht="15" hidden="false" customHeight="false" outlineLevel="0" collapsed="false">
      <c r="I759" s="22"/>
    </row>
    <row r="760" customFormat="false" ht="15" hidden="false" customHeight="false" outlineLevel="0" collapsed="false">
      <c r="I760" s="22"/>
    </row>
    <row r="761" customFormat="false" ht="15" hidden="false" customHeight="false" outlineLevel="0" collapsed="false">
      <c r="I761" s="22"/>
    </row>
    <row r="762" customFormat="false" ht="15" hidden="false" customHeight="false" outlineLevel="0" collapsed="false">
      <c r="I762" s="22"/>
    </row>
    <row r="763" customFormat="false" ht="15" hidden="false" customHeight="false" outlineLevel="0" collapsed="false">
      <c r="I763" s="22"/>
    </row>
    <row r="764" customFormat="false" ht="15" hidden="false" customHeight="false" outlineLevel="0" collapsed="false">
      <c r="I764" s="22"/>
    </row>
    <row r="765" customFormat="false" ht="15" hidden="false" customHeight="false" outlineLevel="0" collapsed="false">
      <c r="I765" s="22"/>
    </row>
    <row r="766" customFormat="false" ht="15" hidden="false" customHeight="false" outlineLevel="0" collapsed="false">
      <c r="I766" s="22"/>
    </row>
    <row r="767" customFormat="false" ht="15" hidden="false" customHeight="false" outlineLevel="0" collapsed="false">
      <c r="I767" s="22"/>
    </row>
    <row r="768" customFormat="false" ht="15" hidden="false" customHeight="false" outlineLevel="0" collapsed="false">
      <c r="I768" s="22"/>
    </row>
    <row r="769" customFormat="false" ht="15" hidden="false" customHeight="false" outlineLevel="0" collapsed="false">
      <c r="I769" s="22"/>
    </row>
    <row r="770" customFormat="false" ht="15" hidden="false" customHeight="false" outlineLevel="0" collapsed="false">
      <c r="I770" s="22"/>
    </row>
    <row r="771" customFormat="false" ht="15" hidden="false" customHeight="false" outlineLevel="0" collapsed="false">
      <c r="I771" s="22"/>
    </row>
    <row r="772" customFormat="false" ht="15" hidden="false" customHeight="false" outlineLevel="0" collapsed="false">
      <c r="I772" s="22"/>
    </row>
    <row r="773" customFormat="false" ht="15" hidden="false" customHeight="false" outlineLevel="0" collapsed="false">
      <c r="I773" s="22"/>
    </row>
    <row r="774" customFormat="false" ht="15" hidden="false" customHeight="false" outlineLevel="0" collapsed="false">
      <c r="I774" s="22"/>
    </row>
    <row r="775" customFormat="false" ht="15" hidden="false" customHeight="false" outlineLevel="0" collapsed="false">
      <c r="I775" s="22"/>
    </row>
    <row r="776" customFormat="false" ht="15" hidden="false" customHeight="false" outlineLevel="0" collapsed="false">
      <c r="I776" s="22"/>
    </row>
    <row r="777" customFormat="false" ht="15" hidden="false" customHeight="false" outlineLevel="0" collapsed="false">
      <c r="I777" s="22"/>
    </row>
    <row r="778" customFormat="false" ht="15" hidden="false" customHeight="false" outlineLevel="0" collapsed="false">
      <c r="I778" s="22"/>
    </row>
    <row r="779" customFormat="false" ht="15" hidden="false" customHeight="false" outlineLevel="0" collapsed="false">
      <c r="I779" s="22"/>
    </row>
    <row r="780" customFormat="false" ht="15" hidden="false" customHeight="false" outlineLevel="0" collapsed="false">
      <c r="I780" s="22"/>
    </row>
    <row r="781" customFormat="false" ht="15" hidden="false" customHeight="false" outlineLevel="0" collapsed="false">
      <c r="I781" s="22"/>
    </row>
    <row r="782" customFormat="false" ht="15" hidden="false" customHeight="false" outlineLevel="0" collapsed="false">
      <c r="I782" s="22"/>
    </row>
    <row r="783" customFormat="false" ht="15" hidden="false" customHeight="false" outlineLevel="0" collapsed="false">
      <c r="I783" s="22"/>
    </row>
    <row r="784" customFormat="false" ht="15" hidden="false" customHeight="false" outlineLevel="0" collapsed="false">
      <c r="I784" s="22"/>
    </row>
    <row r="785" customFormat="false" ht="15" hidden="false" customHeight="false" outlineLevel="0" collapsed="false">
      <c r="I785" s="22"/>
    </row>
    <row r="786" customFormat="false" ht="15" hidden="false" customHeight="false" outlineLevel="0" collapsed="false">
      <c r="I786" s="22"/>
    </row>
    <row r="787" customFormat="false" ht="15" hidden="false" customHeight="false" outlineLevel="0" collapsed="false">
      <c r="I787" s="22"/>
    </row>
    <row r="788" customFormat="false" ht="15" hidden="false" customHeight="false" outlineLevel="0" collapsed="false">
      <c r="I788" s="22"/>
    </row>
    <row r="789" customFormat="false" ht="15" hidden="false" customHeight="false" outlineLevel="0" collapsed="false">
      <c r="I789" s="22"/>
    </row>
    <row r="790" customFormat="false" ht="15" hidden="false" customHeight="false" outlineLevel="0" collapsed="false">
      <c r="I790" s="22"/>
    </row>
    <row r="791" customFormat="false" ht="15" hidden="false" customHeight="false" outlineLevel="0" collapsed="false">
      <c r="I791" s="22"/>
    </row>
    <row r="792" customFormat="false" ht="15" hidden="false" customHeight="false" outlineLevel="0" collapsed="false">
      <c r="I792" s="22"/>
    </row>
    <row r="793" customFormat="false" ht="15" hidden="false" customHeight="false" outlineLevel="0" collapsed="false">
      <c r="I793" s="22"/>
    </row>
    <row r="794" customFormat="false" ht="15" hidden="false" customHeight="false" outlineLevel="0" collapsed="false">
      <c r="I794" s="22"/>
    </row>
    <row r="795" customFormat="false" ht="15" hidden="false" customHeight="false" outlineLevel="0" collapsed="false">
      <c r="I795" s="22"/>
    </row>
    <row r="796" customFormat="false" ht="15" hidden="false" customHeight="false" outlineLevel="0" collapsed="false">
      <c r="I796" s="22"/>
    </row>
    <row r="797" customFormat="false" ht="15" hidden="false" customHeight="false" outlineLevel="0" collapsed="false">
      <c r="I797" s="22"/>
    </row>
    <row r="798" customFormat="false" ht="15" hidden="false" customHeight="false" outlineLevel="0" collapsed="false">
      <c r="I798" s="22"/>
    </row>
    <row r="799" customFormat="false" ht="15" hidden="false" customHeight="false" outlineLevel="0" collapsed="false">
      <c r="I799" s="22"/>
    </row>
    <row r="800" customFormat="false" ht="15" hidden="false" customHeight="false" outlineLevel="0" collapsed="false">
      <c r="I800" s="22"/>
    </row>
    <row r="801" customFormat="false" ht="15" hidden="false" customHeight="false" outlineLevel="0" collapsed="false">
      <c r="I801" s="22"/>
    </row>
    <row r="802" customFormat="false" ht="15" hidden="false" customHeight="false" outlineLevel="0" collapsed="false">
      <c r="I802" s="22"/>
    </row>
    <row r="803" customFormat="false" ht="15" hidden="false" customHeight="false" outlineLevel="0" collapsed="false">
      <c r="I803" s="22"/>
    </row>
    <row r="804" customFormat="false" ht="15" hidden="false" customHeight="false" outlineLevel="0" collapsed="false">
      <c r="I804" s="22"/>
    </row>
    <row r="805" customFormat="false" ht="15" hidden="false" customHeight="false" outlineLevel="0" collapsed="false">
      <c r="I805" s="22"/>
    </row>
    <row r="806" customFormat="false" ht="15" hidden="false" customHeight="false" outlineLevel="0" collapsed="false">
      <c r="I806" s="22"/>
    </row>
    <row r="807" customFormat="false" ht="15" hidden="false" customHeight="false" outlineLevel="0" collapsed="false">
      <c r="I807" s="22"/>
    </row>
    <row r="808" customFormat="false" ht="15" hidden="false" customHeight="false" outlineLevel="0" collapsed="false">
      <c r="I808" s="22"/>
    </row>
    <row r="809" customFormat="false" ht="15" hidden="false" customHeight="false" outlineLevel="0" collapsed="false">
      <c r="I809" s="22"/>
    </row>
    <row r="810" customFormat="false" ht="15" hidden="false" customHeight="false" outlineLevel="0" collapsed="false">
      <c r="I810" s="22"/>
    </row>
    <row r="811" customFormat="false" ht="15" hidden="false" customHeight="false" outlineLevel="0" collapsed="false">
      <c r="I811" s="22"/>
    </row>
    <row r="812" customFormat="false" ht="15" hidden="false" customHeight="false" outlineLevel="0" collapsed="false">
      <c r="I812" s="22"/>
    </row>
    <row r="813" customFormat="false" ht="15" hidden="false" customHeight="false" outlineLevel="0" collapsed="false">
      <c r="I813" s="22"/>
    </row>
    <row r="814" customFormat="false" ht="15" hidden="false" customHeight="false" outlineLevel="0" collapsed="false">
      <c r="I814" s="22"/>
    </row>
    <row r="815" customFormat="false" ht="15" hidden="false" customHeight="false" outlineLevel="0" collapsed="false">
      <c r="I815" s="22"/>
    </row>
    <row r="816" customFormat="false" ht="15" hidden="false" customHeight="false" outlineLevel="0" collapsed="false">
      <c r="I816" s="22"/>
    </row>
    <row r="817" customFormat="false" ht="15" hidden="false" customHeight="false" outlineLevel="0" collapsed="false">
      <c r="I817" s="22"/>
    </row>
    <row r="818" customFormat="false" ht="15" hidden="false" customHeight="false" outlineLevel="0" collapsed="false">
      <c r="I818" s="22"/>
    </row>
    <row r="819" customFormat="false" ht="15" hidden="false" customHeight="false" outlineLevel="0" collapsed="false">
      <c r="I819" s="22"/>
    </row>
    <row r="820" customFormat="false" ht="15" hidden="false" customHeight="false" outlineLevel="0" collapsed="false">
      <c r="I820" s="22"/>
    </row>
    <row r="821" customFormat="false" ht="15" hidden="false" customHeight="false" outlineLevel="0" collapsed="false">
      <c r="I821" s="22"/>
    </row>
    <row r="822" customFormat="false" ht="15" hidden="false" customHeight="false" outlineLevel="0" collapsed="false">
      <c r="I822" s="22"/>
    </row>
    <row r="823" customFormat="false" ht="15" hidden="false" customHeight="false" outlineLevel="0" collapsed="false">
      <c r="I823" s="22"/>
    </row>
    <row r="824" customFormat="false" ht="15" hidden="false" customHeight="false" outlineLevel="0" collapsed="false">
      <c r="I824" s="22"/>
    </row>
    <row r="825" customFormat="false" ht="15" hidden="false" customHeight="false" outlineLevel="0" collapsed="false">
      <c r="I825" s="22"/>
    </row>
    <row r="826" customFormat="false" ht="15" hidden="false" customHeight="false" outlineLevel="0" collapsed="false">
      <c r="I826" s="22"/>
    </row>
    <row r="827" customFormat="false" ht="15" hidden="false" customHeight="false" outlineLevel="0" collapsed="false">
      <c r="I827" s="22"/>
    </row>
    <row r="828" customFormat="false" ht="15" hidden="false" customHeight="false" outlineLevel="0" collapsed="false">
      <c r="I828" s="22"/>
    </row>
    <row r="829" customFormat="false" ht="15" hidden="false" customHeight="false" outlineLevel="0" collapsed="false">
      <c r="I829" s="22"/>
    </row>
    <row r="830" customFormat="false" ht="15" hidden="false" customHeight="false" outlineLevel="0" collapsed="false">
      <c r="I830" s="22"/>
    </row>
    <row r="831" customFormat="false" ht="15" hidden="false" customHeight="false" outlineLevel="0" collapsed="false">
      <c r="I831" s="22"/>
    </row>
    <row r="832" customFormat="false" ht="15" hidden="false" customHeight="false" outlineLevel="0" collapsed="false">
      <c r="I832" s="22"/>
    </row>
    <row r="833" customFormat="false" ht="15" hidden="false" customHeight="false" outlineLevel="0" collapsed="false">
      <c r="I833" s="22"/>
    </row>
    <row r="834" customFormat="false" ht="15" hidden="false" customHeight="false" outlineLevel="0" collapsed="false">
      <c r="I834" s="22"/>
    </row>
    <row r="835" customFormat="false" ht="15" hidden="false" customHeight="false" outlineLevel="0" collapsed="false">
      <c r="I835" s="22"/>
    </row>
    <row r="836" customFormat="false" ht="15" hidden="false" customHeight="false" outlineLevel="0" collapsed="false">
      <c r="I836" s="22"/>
    </row>
    <row r="837" customFormat="false" ht="15" hidden="false" customHeight="false" outlineLevel="0" collapsed="false">
      <c r="I837" s="22"/>
    </row>
    <row r="838" customFormat="false" ht="15" hidden="false" customHeight="false" outlineLevel="0" collapsed="false">
      <c r="I838" s="22"/>
    </row>
    <row r="839" customFormat="false" ht="15" hidden="false" customHeight="false" outlineLevel="0" collapsed="false">
      <c r="I839" s="22"/>
    </row>
    <row r="840" customFormat="false" ht="15" hidden="false" customHeight="false" outlineLevel="0" collapsed="false">
      <c r="I840" s="22"/>
    </row>
    <row r="841" customFormat="false" ht="15" hidden="false" customHeight="false" outlineLevel="0" collapsed="false">
      <c r="I841" s="22"/>
    </row>
    <row r="842" customFormat="false" ht="15" hidden="false" customHeight="false" outlineLevel="0" collapsed="false">
      <c r="I842" s="22"/>
    </row>
    <row r="843" customFormat="false" ht="15" hidden="false" customHeight="false" outlineLevel="0" collapsed="false">
      <c r="I843" s="22"/>
    </row>
    <row r="844" customFormat="false" ht="15" hidden="false" customHeight="false" outlineLevel="0" collapsed="false">
      <c r="I844" s="22"/>
    </row>
    <row r="845" customFormat="false" ht="15" hidden="false" customHeight="false" outlineLevel="0" collapsed="false">
      <c r="I845" s="22"/>
    </row>
    <row r="846" customFormat="false" ht="15" hidden="false" customHeight="false" outlineLevel="0" collapsed="false">
      <c r="I846" s="22"/>
    </row>
    <row r="847" customFormat="false" ht="15" hidden="false" customHeight="false" outlineLevel="0" collapsed="false">
      <c r="I847" s="22"/>
    </row>
    <row r="848" customFormat="false" ht="15" hidden="false" customHeight="false" outlineLevel="0" collapsed="false">
      <c r="I848" s="22"/>
    </row>
    <row r="849" customFormat="false" ht="15" hidden="false" customHeight="false" outlineLevel="0" collapsed="false">
      <c r="I849" s="22"/>
    </row>
    <row r="850" customFormat="false" ht="15" hidden="false" customHeight="false" outlineLevel="0" collapsed="false">
      <c r="I850" s="22"/>
    </row>
    <row r="851" customFormat="false" ht="15" hidden="false" customHeight="false" outlineLevel="0" collapsed="false">
      <c r="I851" s="22"/>
    </row>
    <row r="852" customFormat="false" ht="15" hidden="false" customHeight="false" outlineLevel="0" collapsed="false">
      <c r="I852" s="22"/>
    </row>
    <row r="853" customFormat="false" ht="15" hidden="false" customHeight="false" outlineLevel="0" collapsed="false">
      <c r="I853" s="22"/>
    </row>
    <row r="854" customFormat="false" ht="15" hidden="false" customHeight="false" outlineLevel="0" collapsed="false">
      <c r="I854" s="22"/>
    </row>
    <row r="855" customFormat="false" ht="15" hidden="false" customHeight="false" outlineLevel="0" collapsed="false">
      <c r="I855" s="22"/>
    </row>
    <row r="856" customFormat="false" ht="15" hidden="false" customHeight="false" outlineLevel="0" collapsed="false">
      <c r="I856" s="22"/>
    </row>
    <row r="857" customFormat="false" ht="15" hidden="false" customHeight="false" outlineLevel="0" collapsed="false">
      <c r="I857" s="22"/>
    </row>
    <row r="858" customFormat="false" ht="15" hidden="false" customHeight="false" outlineLevel="0" collapsed="false">
      <c r="I858" s="22"/>
    </row>
    <row r="859" customFormat="false" ht="15" hidden="false" customHeight="false" outlineLevel="0" collapsed="false">
      <c r="I859" s="22"/>
    </row>
    <row r="860" customFormat="false" ht="15" hidden="false" customHeight="false" outlineLevel="0" collapsed="false">
      <c r="I860" s="22"/>
    </row>
    <row r="861" customFormat="false" ht="15" hidden="false" customHeight="false" outlineLevel="0" collapsed="false">
      <c r="I861" s="22"/>
    </row>
    <row r="862" customFormat="false" ht="15" hidden="false" customHeight="false" outlineLevel="0" collapsed="false">
      <c r="I862" s="22"/>
    </row>
    <row r="863" customFormat="false" ht="15" hidden="false" customHeight="false" outlineLevel="0" collapsed="false">
      <c r="I863" s="22"/>
    </row>
    <row r="864" customFormat="false" ht="15" hidden="false" customHeight="false" outlineLevel="0" collapsed="false">
      <c r="I864" s="22"/>
    </row>
    <row r="865" customFormat="false" ht="15" hidden="false" customHeight="false" outlineLevel="0" collapsed="false">
      <c r="I865" s="22"/>
    </row>
    <row r="866" customFormat="false" ht="15" hidden="false" customHeight="false" outlineLevel="0" collapsed="false">
      <c r="I866" s="22"/>
    </row>
    <row r="867" customFormat="false" ht="15" hidden="false" customHeight="false" outlineLevel="0" collapsed="false">
      <c r="I867" s="22"/>
    </row>
    <row r="868" customFormat="false" ht="15" hidden="false" customHeight="false" outlineLevel="0" collapsed="false">
      <c r="I868" s="22"/>
    </row>
    <row r="869" customFormat="false" ht="15" hidden="false" customHeight="false" outlineLevel="0" collapsed="false">
      <c r="I869" s="22"/>
    </row>
    <row r="870" customFormat="false" ht="15" hidden="false" customHeight="false" outlineLevel="0" collapsed="false">
      <c r="I870" s="22"/>
    </row>
    <row r="871" customFormat="false" ht="15" hidden="false" customHeight="false" outlineLevel="0" collapsed="false">
      <c r="I871" s="22"/>
    </row>
    <row r="872" customFormat="false" ht="15" hidden="false" customHeight="false" outlineLevel="0" collapsed="false">
      <c r="I872" s="22"/>
    </row>
    <row r="873" customFormat="false" ht="15" hidden="false" customHeight="false" outlineLevel="0" collapsed="false">
      <c r="I873" s="22"/>
    </row>
    <row r="874" customFormat="false" ht="15" hidden="false" customHeight="false" outlineLevel="0" collapsed="false">
      <c r="I874" s="22"/>
    </row>
    <row r="875" customFormat="false" ht="15" hidden="false" customHeight="false" outlineLevel="0" collapsed="false">
      <c r="I875" s="22"/>
    </row>
    <row r="876" customFormat="false" ht="15" hidden="false" customHeight="false" outlineLevel="0" collapsed="false">
      <c r="I876" s="22"/>
    </row>
    <row r="877" customFormat="false" ht="15" hidden="false" customHeight="false" outlineLevel="0" collapsed="false">
      <c r="I877" s="22"/>
    </row>
    <row r="878" customFormat="false" ht="15" hidden="false" customHeight="false" outlineLevel="0" collapsed="false">
      <c r="I878" s="22"/>
    </row>
    <row r="879" customFormat="false" ht="15" hidden="false" customHeight="false" outlineLevel="0" collapsed="false">
      <c r="I879" s="22"/>
    </row>
    <row r="880" customFormat="false" ht="15" hidden="false" customHeight="false" outlineLevel="0" collapsed="false">
      <c r="I880" s="22"/>
    </row>
    <row r="881" customFormat="false" ht="15" hidden="false" customHeight="false" outlineLevel="0" collapsed="false">
      <c r="I881" s="22"/>
    </row>
    <row r="882" customFormat="false" ht="15" hidden="false" customHeight="false" outlineLevel="0" collapsed="false">
      <c r="I882" s="22"/>
    </row>
    <row r="883" customFormat="false" ht="15" hidden="false" customHeight="false" outlineLevel="0" collapsed="false">
      <c r="I883" s="22"/>
    </row>
    <row r="884" customFormat="false" ht="15" hidden="false" customHeight="false" outlineLevel="0" collapsed="false">
      <c r="I884" s="22"/>
    </row>
    <row r="885" customFormat="false" ht="15" hidden="false" customHeight="false" outlineLevel="0" collapsed="false">
      <c r="I885" s="22"/>
    </row>
    <row r="886" customFormat="false" ht="15" hidden="false" customHeight="false" outlineLevel="0" collapsed="false">
      <c r="I886" s="22"/>
    </row>
    <row r="887" customFormat="false" ht="15" hidden="false" customHeight="false" outlineLevel="0" collapsed="false">
      <c r="I887" s="22"/>
    </row>
    <row r="888" customFormat="false" ht="15" hidden="false" customHeight="false" outlineLevel="0" collapsed="false">
      <c r="I888" s="22"/>
    </row>
    <row r="889" customFormat="false" ht="15" hidden="false" customHeight="false" outlineLevel="0" collapsed="false">
      <c r="I889" s="22"/>
    </row>
    <row r="890" customFormat="false" ht="15" hidden="false" customHeight="false" outlineLevel="0" collapsed="false">
      <c r="I890" s="22"/>
    </row>
    <row r="891" customFormat="false" ht="15" hidden="false" customHeight="false" outlineLevel="0" collapsed="false">
      <c r="I891" s="22"/>
    </row>
    <row r="892" customFormat="false" ht="15" hidden="false" customHeight="false" outlineLevel="0" collapsed="false">
      <c r="I892" s="22"/>
    </row>
    <row r="893" customFormat="false" ht="15" hidden="false" customHeight="false" outlineLevel="0" collapsed="false">
      <c r="I893" s="22"/>
    </row>
    <row r="894" customFormat="false" ht="15" hidden="false" customHeight="false" outlineLevel="0" collapsed="false">
      <c r="I894" s="22"/>
    </row>
    <row r="895" customFormat="false" ht="15" hidden="false" customHeight="false" outlineLevel="0" collapsed="false">
      <c r="I895" s="22"/>
    </row>
    <row r="896" customFormat="false" ht="15" hidden="false" customHeight="false" outlineLevel="0" collapsed="false">
      <c r="I896" s="22"/>
    </row>
    <row r="897" customFormat="false" ht="15" hidden="false" customHeight="false" outlineLevel="0" collapsed="false">
      <c r="I897" s="22"/>
    </row>
    <row r="898" customFormat="false" ht="15" hidden="false" customHeight="false" outlineLevel="0" collapsed="false">
      <c r="I898" s="22"/>
    </row>
    <row r="899" customFormat="false" ht="15" hidden="false" customHeight="false" outlineLevel="0" collapsed="false">
      <c r="I899" s="22"/>
    </row>
    <row r="900" customFormat="false" ht="15" hidden="false" customHeight="false" outlineLevel="0" collapsed="false">
      <c r="I900" s="22"/>
    </row>
    <row r="901" customFormat="false" ht="15" hidden="false" customHeight="false" outlineLevel="0" collapsed="false">
      <c r="I901" s="22"/>
    </row>
    <row r="902" customFormat="false" ht="15" hidden="false" customHeight="false" outlineLevel="0" collapsed="false">
      <c r="I902" s="22"/>
    </row>
    <row r="903" customFormat="false" ht="15" hidden="false" customHeight="false" outlineLevel="0" collapsed="false">
      <c r="I903" s="22"/>
    </row>
    <row r="904" customFormat="false" ht="15" hidden="false" customHeight="false" outlineLevel="0" collapsed="false">
      <c r="I904" s="22"/>
    </row>
    <row r="905" customFormat="false" ht="15" hidden="false" customHeight="false" outlineLevel="0" collapsed="false">
      <c r="I905" s="22"/>
    </row>
    <row r="906" customFormat="false" ht="15" hidden="false" customHeight="false" outlineLevel="0" collapsed="false">
      <c r="I906" s="22"/>
    </row>
    <row r="907" customFormat="false" ht="15" hidden="false" customHeight="false" outlineLevel="0" collapsed="false">
      <c r="I907" s="22"/>
    </row>
    <row r="908" customFormat="false" ht="15" hidden="false" customHeight="false" outlineLevel="0" collapsed="false">
      <c r="I908" s="22"/>
    </row>
    <row r="909" customFormat="false" ht="15" hidden="false" customHeight="false" outlineLevel="0" collapsed="false">
      <c r="I909" s="22"/>
    </row>
    <row r="910" customFormat="false" ht="15" hidden="false" customHeight="false" outlineLevel="0" collapsed="false">
      <c r="I910" s="22"/>
    </row>
    <row r="911" customFormat="false" ht="15" hidden="false" customHeight="false" outlineLevel="0" collapsed="false">
      <c r="I911" s="22"/>
    </row>
    <row r="912" customFormat="false" ht="15" hidden="false" customHeight="false" outlineLevel="0" collapsed="false">
      <c r="I912" s="22"/>
    </row>
    <row r="913" customFormat="false" ht="15" hidden="false" customHeight="false" outlineLevel="0" collapsed="false">
      <c r="I913" s="22"/>
    </row>
    <row r="914" customFormat="false" ht="15" hidden="false" customHeight="false" outlineLevel="0" collapsed="false">
      <c r="I914" s="22"/>
    </row>
    <row r="915" customFormat="false" ht="15" hidden="false" customHeight="false" outlineLevel="0" collapsed="false">
      <c r="I915" s="22"/>
    </row>
    <row r="916" customFormat="false" ht="15" hidden="false" customHeight="false" outlineLevel="0" collapsed="false">
      <c r="I916" s="22"/>
    </row>
    <row r="917" customFormat="false" ht="15" hidden="false" customHeight="false" outlineLevel="0" collapsed="false">
      <c r="I917" s="22"/>
    </row>
    <row r="918" customFormat="false" ht="15" hidden="false" customHeight="false" outlineLevel="0" collapsed="false">
      <c r="I918" s="22"/>
    </row>
    <row r="919" customFormat="false" ht="15" hidden="false" customHeight="false" outlineLevel="0" collapsed="false">
      <c r="I919" s="22"/>
    </row>
    <row r="920" customFormat="false" ht="15" hidden="false" customHeight="false" outlineLevel="0" collapsed="false">
      <c r="I920" s="22"/>
    </row>
    <row r="921" customFormat="false" ht="15" hidden="false" customHeight="false" outlineLevel="0" collapsed="false">
      <c r="I921" s="22"/>
    </row>
    <row r="922" customFormat="false" ht="15" hidden="false" customHeight="false" outlineLevel="0" collapsed="false">
      <c r="I922" s="22"/>
    </row>
    <row r="923" customFormat="false" ht="15" hidden="false" customHeight="false" outlineLevel="0" collapsed="false">
      <c r="I923" s="22"/>
    </row>
    <row r="924" customFormat="false" ht="15" hidden="false" customHeight="false" outlineLevel="0" collapsed="false">
      <c r="I924" s="22"/>
    </row>
    <row r="925" customFormat="false" ht="15" hidden="false" customHeight="false" outlineLevel="0" collapsed="false">
      <c r="I925" s="22"/>
    </row>
    <row r="926" customFormat="false" ht="15" hidden="false" customHeight="false" outlineLevel="0" collapsed="false">
      <c r="I926" s="22"/>
    </row>
    <row r="927" customFormat="false" ht="15" hidden="false" customHeight="false" outlineLevel="0" collapsed="false">
      <c r="I927" s="22"/>
    </row>
    <row r="928" customFormat="false" ht="15" hidden="false" customHeight="false" outlineLevel="0" collapsed="false">
      <c r="I928" s="22"/>
    </row>
    <row r="929" customFormat="false" ht="15" hidden="false" customHeight="false" outlineLevel="0" collapsed="false">
      <c r="I929" s="22"/>
    </row>
    <row r="930" customFormat="false" ht="15" hidden="false" customHeight="false" outlineLevel="0" collapsed="false">
      <c r="I930" s="22"/>
    </row>
    <row r="931" customFormat="false" ht="15" hidden="false" customHeight="false" outlineLevel="0" collapsed="false">
      <c r="I931" s="22"/>
    </row>
    <row r="932" customFormat="false" ht="15" hidden="false" customHeight="false" outlineLevel="0" collapsed="false">
      <c r="I932" s="22"/>
    </row>
    <row r="933" customFormat="false" ht="15" hidden="false" customHeight="false" outlineLevel="0" collapsed="false">
      <c r="I933" s="22"/>
    </row>
    <row r="934" customFormat="false" ht="15" hidden="false" customHeight="false" outlineLevel="0" collapsed="false">
      <c r="I934" s="22"/>
    </row>
    <row r="935" customFormat="false" ht="15" hidden="false" customHeight="false" outlineLevel="0" collapsed="false">
      <c r="I935" s="22"/>
    </row>
    <row r="936" customFormat="false" ht="15" hidden="false" customHeight="false" outlineLevel="0" collapsed="false">
      <c r="I936" s="22"/>
    </row>
    <row r="937" customFormat="false" ht="15" hidden="false" customHeight="false" outlineLevel="0" collapsed="false">
      <c r="I937" s="22"/>
    </row>
    <row r="938" customFormat="false" ht="15" hidden="false" customHeight="false" outlineLevel="0" collapsed="false">
      <c r="I938" s="22"/>
    </row>
    <row r="939" customFormat="false" ht="15" hidden="false" customHeight="false" outlineLevel="0" collapsed="false">
      <c r="I939" s="22"/>
    </row>
    <row r="940" customFormat="false" ht="15" hidden="false" customHeight="false" outlineLevel="0" collapsed="false">
      <c r="I940" s="22"/>
    </row>
    <row r="941" customFormat="false" ht="15" hidden="false" customHeight="false" outlineLevel="0" collapsed="false">
      <c r="I941" s="22"/>
    </row>
    <row r="942" customFormat="false" ht="15" hidden="false" customHeight="false" outlineLevel="0" collapsed="false">
      <c r="I942" s="22"/>
    </row>
    <row r="943" customFormat="false" ht="15" hidden="false" customHeight="false" outlineLevel="0" collapsed="false">
      <c r="I943" s="22"/>
    </row>
    <row r="944" customFormat="false" ht="15" hidden="false" customHeight="false" outlineLevel="0" collapsed="false">
      <c r="I944" s="22"/>
    </row>
    <row r="945" customFormat="false" ht="15" hidden="false" customHeight="false" outlineLevel="0" collapsed="false">
      <c r="I945" s="22"/>
    </row>
    <row r="946" customFormat="false" ht="15" hidden="false" customHeight="false" outlineLevel="0" collapsed="false">
      <c r="I946" s="22"/>
    </row>
    <row r="947" customFormat="false" ht="15" hidden="false" customHeight="false" outlineLevel="0" collapsed="false">
      <c r="I947" s="22"/>
    </row>
    <row r="948" customFormat="false" ht="15" hidden="false" customHeight="false" outlineLevel="0" collapsed="false">
      <c r="I948" s="22"/>
    </row>
    <row r="949" customFormat="false" ht="15" hidden="false" customHeight="false" outlineLevel="0" collapsed="false">
      <c r="I949" s="22"/>
    </row>
    <row r="950" customFormat="false" ht="15" hidden="false" customHeight="false" outlineLevel="0" collapsed="false">
      <c r="I950" s="22"/>
    </row>
    <row r="951" customFormat="false" ht="15" hidden="false" customHeight="false" outlineLevel="0" collapsed="false">
      <c r="I951" s="22"/>
    </row>
    <row r="952" customFormat="false" ht="15" hidden="false" customHeight="false" outlineLevel="0" collapsed="false">
      <c r="I952" s="22"/>
    </row>
    <row r="953" customFormat="false" ht="15" hidden="false" customHeight="false" outlineLevel="0" collapsed="false">
      <c r="I953" s="22"/>
    </row>
    <row r="954" customFormat="false" ht="15" hidden="false" customHeight="false" outlineLevel="0" collapsed="false">
      <c r="I954" s="22"/>
    </row>
    <row r="955" customFormat="false" ht="15" hidden="false" customHeight="false" outlineLevel="0" collapsed="false">
      <c r="I955" s="22"/>
    </row>
    <row r="956" customFormat="false" ht="15" hidden="false" customHeight="false" outlineLevel="0" collapsed="false">
      <c r="I956" s="22"/>
    </row>
    <row r="957" customFormat="false" ht="15" hidden="false" customHeight="false" outlineLevel="0" collapsed="false">
      <c r="I957" s="22"/>
    </row>
    <row r="958" customFormat="false" ht="15" hidden="false" customHeight="false" outlineLevel="0" collapsed="false">
      <c r="I958" s="22"/>
    </row>
    <row r="959" customFormat="false" ht="15" hidden="false" customHeight="false" outlineLevel="0" collapsed="false">
      <c r="I959" s="22"/>
    </row>
    <row r="960" customFormat="false" ht="15" hidden="false" customHeight="false" outlineLevel="0" collapsed="false">
      <c r="I960" s="22"/>
    </row>
    <row r="961" customFormat="false" ht="15" hidden="false" customHeight="false" outlineLevel="0" collapsed="false">
      <c r="I961" s="22"/>
    </row>
    <row r="962" customFormat="false" ht="15" hidden="false" customHeight="false" outlineLevel="0" collapsed="false">
      <c r="I962" s="22"/>
    </row>
    <row r="963" customFormat="false" ht="15" hidden="false" customHeight="false" outlineLevel="0" collapsed="false">
      <c r="I963" s="22"/>
    </row>
    <row r="964" customFormat="false" ht="15" hidden="false" customHeight="false" outlineLevel="0" collapsed="false">
      <c r="I964" s="22"/>
    </row>
    <row r="965" customFormat="false" ht="15" hidden="false" customHeight="false" outlineLevel="0" collapsed="false">
      <c r="I965" s="22"/>
    </row>
    <row r="966" customFormat="false" ht="15" hidden="false" customHeight="false" outlineLevel="0" collapsed="false">
      <c r="I966" s="22"/>
    </row>
    <row r="967" customFormat="false" ht="15" hidden="false" customHeight="false" outlineLevel="0" collapsed="false">
      <c r="I967" s="22"/>
    </row>
    <row r="968" customFormat="false" ht="15" hidden="false" customHeight="false" outlineLevel="0" collapsed="false">
      <c r="I968" s="22"/>
    </row>
    <row r="969" customFormat="false" ht="15" hidden="false" customHeight="false" outlineLevel="0" collapsed="false">
      <c r="I969" s="22"/>
    </row>
    <row r="970" customFormat="false" ht="15" hidden="false" customHeight="false" outlineLevel="0" collapsed="false">
      <c r="I970" s="22"/>
    </row>
    <row r="971" customFormat="false" ht="15" hidden="false" customHeight="false" outlineLevel="0" collapsed="false">
      <c r="I971" s="22"/>
    </row>
    <row r="972" customFormat="false" ht="15" hidden="false" customHeight="false" outlineLevel="0" collapsed="false">
      <c r="I972" s="22"/>
    </row>
    <row r="973" customFormat="false" ht="15" hidden="false" customHeight="false" outlineLevel="0" collapsed="false">
      <c r="I973" s="22"/>
    </row>
    <row r="974" customFormat="false" ht="15" hidden="false" customHeight="false" outlineLevel="0" collapsed="false">
      <c r="I974" s="22"/>
    </row>
    <row r="975" customFormat="false" ht="15" hidden="false" customHeight="false" outlineLevel="0" collapsed="false">
      <c r="I975" s="22"/>
    </row>
    <row r="976" customFormat="false" ht="15" hidden="false" customHeight="false" outlineLevel="0" collapsed="false">
      <c r="I976" s="22"/>
    </row>
    <row r="977" customFormat="false" ht="15" hidden="false" customHeight="false" outlineLevel="0" collapsed="false">
      <c r="I977" s="22"/>
    </row>
    <row r="978" customFormat="false" ht="15" hidden="false" customHeight="false" outlineLevel="0" collapsed="false">
      <c r="I978" s="22"/>
    </row>
    <row r="979" customFormat="false" ht="15" hidden="false" customHeight="false" outlineLevel="0" collapsed="false">
      <c r="I979" s="22"/>
    </row>
    <row r="980" customFormat="false" ht="15" hidden="false" customHeight="false" outlineLevel="0" collapsed="false">
      <c r="I980" s="22"/>
    </row>
    <row r="981" customFormat="false" ht="15" hidden="false" customHeight="false" outlineLevel="0" collapsed="false">
      <c r="I981" s="22"/>
    </row>
    <row r="982" customFormat="false" ht="15" hidden="false" customHeight="false" outlineLevel="0" collapsed="false">
      <c r="I982" s="22"/>
    </row>
    <row r="983" customFormat="false" ht="15" hidden="false" customHeight="false" outlineLevel="0" collapsed="false">
      <c r="I983" s="22"/>
    </row>
    <row r="984" customFormat="false" ht="15" hidden="false" customHeight="false" outlineLevel="0" collapsed="false">
      <c r="I984" s="22"/>
    </row>
    <row r="985" customFormat="false" ht="15" hidden="false" customHeight="false" outlineLevel="0" collapsed="false">
      <c r="I985" s="22"/>
    </row>
    <row r="986" customFormat="false" ht="15" hidden="false" customHeight="false" outlineLevel="0" collapsed="false">
      <c r="I986" s="22"/>
    </row>
    <row r="987" customFormat="false" ht="15" hidden="false" customHeight="false" outlineLevel="0" collapsed="false">
      <c r="I987" s="22"/>
    </row>
    <row r="988" customFormat="false" ht="15" hidden="false" customHeight="false" outlineLevel="0" collapsed="false">
      <c r="I988" s="22"/>
    </row>
    <row r="989" customFormat="false" ht="15" hidden="false" customHeight="false" outlineLevel="0" collapsed="false">
      <c r="I989" s="22"/>
    </row>
    <row r="990" customFormat="false" ht="15" hidden="false" customHeight="false" outlineLevel="0" collapsed="false">
      <c r="I990" s="22"/>
    </row>
    <row r="991" customFormat="false" ht="15" hidden="false" customHeight="false" outlineLevel="0" collapsed="false">
      <c r="I991" s="22"/>
    </row>
    <row r="992" customFormat="false" ht="15" hidden="false" customHeight="false" outlineLevel="0" collapsed="false">
      <c r="I992" s="22"/>
    </row>
    <row r="993" customFormat="false" ht="15" hidden="false" customHeight="false" outlineLevel="0" collapsed="false">
      <c r="I993" s="22"/>
    </row>
    <row r="994" customFormat="false" ht="15" hidden="false" customHeight="false" outlineLevel="0" collapsed="false">
      <c r="I994" s="22"/>
    </row>
    <row r="995" customFormat="false" ht="15" hidden="false" customHeight="false" outlineLevel="0" collapsed="false">
      <c r="I995" s="22"/>
    </row>
    <row r="996" customFormat="false" ht="15" hidden="false" customHeight="false" outlineLevel="0" collapsed="false">
      <c r="I996" s="22"/>
    </row>
    <row r="997" customFormat="false" ht="15" hidden="false" customHeight="false" outlineLevel="0" collapsed="false">
      <c r="I997" s="22"/>
    </row>
    <row r="998" customFormat="false" ht="15" hidden="false" customHeight="false" outlineLevel="0" collapsed="false">
      <c r="I998" s="22"/>
    </row>
    <row r="999" customFormat="false" ht="15" hidden="false" customHeight="false" outlineLevel="0" collapsed="false">
      <c r="I999" s="22"/>
    </row>
    <row r="1000" customFormat="false" ht="15" hidden="false" customHeight="false" outlineLevel="0" collapsed="false">
      <c r="I1000" s="22"/>
    </row>
    <row r="1001" customFormat="false" ht="15" hidden="false" customHeight="false" outlineLevel="0" collapsed="false">
      <c r="I1001" s="22"/>
    </row>
  </sheetData>
  <mergeCells count="11">
    <mergeCell ref="A1:A2"/>
    <mergeCell ref="B1:D1"/>
    <mergeCell ref="E1:G1"/>
    <mergeCell ref="H1:J1"/>
    <mergeCell ref="K1:M1"/>
    <mergeCell ref="N1:P1"/>
    <mergeCell ref="Q1:S1"/>
    <mergeCell ref="Q35:S35"/>
    <mergeCell ref="Q36:R36"/>
    <mergeCell ref="Q37:R37"/>
    <mergeCell ref="Q38:R3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97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L7" activeCellId="0" sqref="L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30.71"/>
    <col collapsed="false" customWidth="true" hidden="false" outlineLevel="0" max="3" min="3" style="1" width="20.51"/>
    <col collapsed="false" customWidth="true" hidden="false" outlineLevel="0" max="4" min="4" style="1" width="18.08"/>
    <col collapsed="false" customWidth="true" hidden="false" outlineLevel="0" max="5" min="5" style="1" width="10.25"/>
    <col collapsed="false" customWidth="true" hidden="false" outlineLevel="0" max="6" min="6" style="1" width="41.56"/>
    <col collapsed="false" customWidth="true" hidden="false" outlineLevel="0" max="7" min="7" style="1" width="3.65"/>
    <col collapsed="false" customWidth="true" hidden="false" outlineLevel="0" max="8" min="8" style="1" width="18.08"/>
    <col collapsed="false" customWidth="true" hidden="false" outlineLevel="0" max="9" min="9" style="1" width="10.25"/>
    <col collapsed="false" customWidth="true" hidden="false" outlineLevel="0" max="10" min="10" style="1" width="41.56"/>
    <col collapsed="false" customWidth="true" hidden="false" outlineLevel="0" max="11" min="11" style="1" width="17.71"/>
    <col collapsed="false" customWidth="true" hidden="false" outlineLevel="0" max="26" min="12" style="1" width="8.71"/>
  </cols>
  <sheetData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>
      <c r="A4" s="35"/>
      <c r="B4" s="36" t="s">
        <v>7</v>
      </c>
      <c r="C4" s="37" t="s">
        <v>12</v>
      </c>
      <c r="D4" s="37" t="s">
        <v>13</v>
      </c>
      <c r="E4" s="37" t="s">
        <v>14</v>
      </c>
      <c r="F4" s="37" t="s">
        <v>15</v>
      </c>
      <c r="G4" s="38"/>
      <c r="H4" s="37" t="s">
        <v>16</v>
      </c>
      <c r="I4" s="37" t="s">
        <v>14</v>
      </c>
      <c r="J4" s="37" t="s">
        <v>15</v>
      </c>
    </row>
    <row r="5" customFormat="false" ht="39" hidden="false" customHeight="true" outlineLevel="0" collapsed="false">
      <c r="A5" s="39" t="s">
        <v>1</v>
      </c>
      <c r="B5" s="40" t="n">
        <f aca="false">ΙΑΝΟΥΑΡΙΟΣ!B34 +ΦΕΒΡΟΥΑΡΙΟΣ!B34</f>
        <v>57</v>
      </c>
      <c r="C5" s="40" t="n">
        <f aca="false">COUNT(ΙΑΝΟΥΑΡΙΟΣ!B3:B33) + COUNT(ΦΕΒΡΟΥΑΡΙΟΣ!B3:B33)</f>
        <v>24</v>
      </c>
      <c r="D5" s="40" t="n">
        <f aca="false">(COUNT(ΙΑΝΟΥΑΡΙΟΣ!B3:B33) + COUNT(ΦΕΒΡΟΥΑΡΙΟΣ!B3:B33)) * 1.7</f>
        <v>40.8</v>
      </c>
      <c r="E5" s="41" t="n">
        <f aca="false">B5/D5</f>
        <v>1.39705882352941</v>
      </c>
      <c r="F5" s="40" t="str">
        <f aca="false">IF(B5 &gt;= D5, "BONUS ✅ (exceeds bonus for +" &amp; ROUND(B5-D5, 0) &amp; " devices)", "need " &amp; ROUND(D5-B5, 0) &amp; " devices")</f>
        <v>BONUS ✅ (exceeds bonus for +16 devices)</v>
      </c>
      <c r="G5" s="38"/>
      <c r="H5" s="40" t="n">
        <f aca="false">(COUNT(ΙΑΝΟΥΑΡΙΟΣ!F3:F33) + COUNT(ΦΕΒΡΟΥΑΡΙΟΣ!F3:F33)) * 1.9</f>
        <v>45.6</v>
      </c>
      <c r="I5" s="41" t="n">
        <f aca="false">B5/H5</f>
        <v>1.25</v>
      </c>
      <c r="J5" s="40" t="str">
        <f aca="false">IF(B5 &gt;= H5, "BONUS ✅ (exceeds bonus for +" &amp; ROUND(B5 - H5, 0) &amp; " devices)", "need " &amp; ROUND(H5 - B5, 0) &amp; " devices")</f>
        <v>BONUS ✅ (exceeds bonus for +11 devices)</v>
      </c>
    </row>
    <row r="6" customFormat="false" ht="39" hidden="false" customHeight="true" outlineLevel="0" collapsed="false">
      <c r="A6" s="39" t="s">
        <v>2</v>
      </c>
      <c r="B6" s="40" t="n">
        <f aca="false">ΙΑΝΟΥΑΡΙΟΣ!E34 +ΦΕΒΡΟΥΑΡΙΟΣ!E34</f>
        <v>44</v>
      </c>
      <c r="C6" s="40" t="n">
        <f aca="false">COUNT(ΙΑΝΟΥΑΡΙΟΣ!E3:E33) + COUNT(ΦΕΒΡΟΥΑΡΙΟΣ!E3:E33)</f>
        <v>24</v>
      </c>
      <c r="D6" s="40" t="n">
        <f aca="false">(COUNT(ΙΑΝΟΥΑΡΙΟΣ!F3:F33) + COUNT(ΦΕΒΡΟΥΑΡΙΟΣ!F3:F33))*1.7</f>
        <v>40.8</v>
      </c>
      <c r="E6" s="41" t="n">
        <f aca="false">B6/D6</f>
        <v>1.07843137254902</v>
      </c>
      <c r="F6" s="40" t="str">
        <f aca="false">IF(B6 &gt;= D6, "BONUS ✅ (exceeds bonus for +" &amp; ROUND(B6-D6, 0) &amp; " devices)", "need " &amp; ROUND(D6-B6, 0) &amp; " devices")</f>
        <v>BONUS ✅ (exceeds bonus for +3 devices)</v>
      </c>
      <c r="G6" s="38"/>
      <c r="H6" s="40" t="n">
        <f aca="false">(COUNT(ΙΑΝΟΥΑΡΙΟΣ!F3:F33) + COUNT(ΦΕΒΡΟΥΑΡΙΟΣ!F3:F33))*1.9</f>
        <v>45.6</v>
      </c>
      <c r="I6" s="41" t="n">
        <f aca="false">B6/H6</f>
        <v>0.964912280701755</v>
      </c>
      <c r="J6" s="40" t="str">
        <f aca="false">IF(B6 &gt;= H6, "BONUS ✅ (exceeds bonus for +" &amp; ROUND(B6 - H6, 0) &amp; " devices)", "need " &amp; ROUND(H6 - B6, 0) &amp; " devices")</f>
        <v>need 2 devices</v>
      </c>
    </row>
    <row r="7" customFormat="false" ht="39" hidden="false" customHeight="true" outlineLevel="0" collapsed="false">
      <c r="A7" s="39" t="s">
        <v>3</v>
      </c>
      <c r="B7" s="40" t="n">
        <f aca="false">ΙΑΝΟΥΑΡΙΟΣ!H34 +ΦΕΒΡΟΥΑΡΙΟΣ!H34</f>
        <v>48</v>
      </c>
      <c r="C7" s="40" t="n">
        <f aca="false">COUNT(ΙΑΝΟΥΑΡΙΟΣ!H3:H33) + COUNT(ΦΕΒΡΟΥΑΡΙΟΣ!H3:H33)</f>
        <v>28</v>
      </c>
      <c r="D7" s="40" t="n">
        <f aca="false">(COUNT(ΙΑΝΟΥΑΡΙΟΣ!I3:I33) + COUNT(ΦΕΒΡΟΥΑΡΙΟΣ!I3:I33))*1.7</f>
        <v>47.6</v>
      </c>
      <c r="E7" s="41" t="n">
        <f aca="false">B7/D7</f>
        <v>1.00840336134454</v>
      </c>
      <c r="F7" s="40" t="str">
        <f aca="false">IF(B7 &gt;= D7, "BONUS ✅ (exceeds bonus for +" &amp; ROUND(B7-D7, 0) &amp; " devices)", "need " &amp; ROUND(D7-B7, 0) &amp; " devices")</f>
        <v>BONUS ✅ (exceeds bonus for +0 devices)</v>
      </c>
      <c r="G7" s="38"/>
      <c r="H7" s="40" t="n">
        <f aca="false">(COUNT(ΙΑΝΟΥΑΡΙΟΣ!I3:I33) + COUNT(ΦΕΒΡΟΥΑΡΙΟΣ!I3:I33))*1.9</f>
        <v>53.2</v>
      </c>
      <c r="I7" s="41" t="n">
        <f aca="false">B7/H7</f>
        <v>0.902255639097744</v>
      </c>
      <c r="J7" s="40" t="str">
        <f aca="false">IF(B7 &gt;= H7, "BONUS ✅ (exceeds bonus for +" &amp; ROUND(B7 - H7, 0) &amp; " devices)", "need " &amp; ROUND(H7 - B7, 0) &amp; " devices")</f>
        <v>need 5 devices</v>
      </c>
    </row>
    <row r="8" customFormat="false" ht="39" hidden="false" customHeight="true" outlineLevel="0" collapsed="false">
      <c r="A8" s="39" t="s">
        <v>4</v>
      </c>
      <c r="B8" s="40" t="n">
        <f aca="false">ΙΑΝΟΥΑΡΙΟΣ!K34 +ΦΕΒΡΟΥΑΡΙΟΣ!K34</f>
        <v>86</v>
      </c>
      <c r="C8" s="40" t="n">
        <f aca="false">COUNT(ΙΑΝΟΥΑΡΙΟΣ!K3:K33) + COUNT(ΦΕΒΡΟΥΑΡΙΟΣ!K3:K33)</f>
        <v>27</v>
      </c>
      <c r="D8" s="40" t="n">
        <f aca="false">(COUNT(ΙΑΝΟΥΑΡΙΟΣ!L3:L33) + COUNT(ΦΕΒΡΟΥΑΡΙΟΣ!L3:L33))*1.7</f>
        <v>45.9</v>
      </c>
      <c r="E8" s="41" t="n">
        <f aca="false">B8/D8</f>
        <v>1.87363834422658</v>
      </c>
      <c r="F8" s="40" t="str">
        <f aca="false">IF(B8 &gt;= D8, "BONUS ✅ (exceeds bonus for +" &amp; ROUND(B8-D8, 0) &amp; " devices)", "need " &amp; ROUND(D8-B8, 0) &amp; " devices")</f>
        <v>BONUS ✅ (exceeds bonus for +40 devices)</v>
      </c>
      <c r="G8" s="38"/>
      <c r="H8" s="40" t="n">
        <f aca="false">(COUNT(ΙΑΝΟΥΑΡΙΟΣ!L3:L33) + COUNT(ΦΕΒΡΟΥΑΡΙΟΣ!L3:L33))*1.9</f>
        <v>51.3</v>
      </c>
      <c r="I8" s="41" t="n">
        <f aca="false">B8/H8</f>
        <v>1.67641325536062</v>
      </c>
      <c r="J8" s="40" t="str">
        <f aca="false">IF(B8 &gt;= H8, "BONUS ✅ (exceeds bonus for +" &amp; ROUND(B8 - H8, 0) &amp; " devices)", "need " &amp; ROUND(H8 - B8, 0) &amp; " devices")</f>
        <v>BONUS ✅ (exceeds bonus for +35 devices)</v>
      </c>
    </row>
    <row r="9" customFormat="false" ht="39" hidden="false" customHeight="true" outlineLevel="0" collapsed="false">
      <c r="A9" s="39" t="s">
        <v>5</v>
      </c>
      <c r="B9" s="40" t="n">
        <f aca="false">ΙΑΝΟΥΑΡΙΟΣ!N34 +ΦΕΒΡΟΥΑΡΙΟΣ!N34</f>
        <v>26</v>
      </c>
      <c r="C9" s="40" t="n">
        <f aca="false">COUNT(ΙΑΝΟΥΑΡΙΟΣ!N3:N33) + COUNT(ΦΕΒΡΟΥΑΡΙΟΣ!N3:N33)</f>
        <v>17</v>
      </c>
      <c r="D9" s="40" t="n">
        <f aca="false">(COUNT(ΙΑΝΟΥΑΡΙΟΣ!O3:O33) + COUNT(ΦΕΒΡΟΥΑΡΙΟΣ!O3:O33))*1.7</f>
        <v>28.9</v>
      </c>
      <c r="E9" s="41" t="n">
        <f aca="false">B9/D9</f>
        <v>0.899653979238754</v>
      </c>
      <c r="F9" s="40" t="str">
        <f aca="false">IF(B9 &gt;= D9, "BONUS ✅ (exceeds bonus for +" &amp; ROUND(B9-D9, 0) &amp; " devices)", "need " &amp; ROUND(D9-B9, 0) &amp; " devices")</f>
        <v>need 3 devices</v>
      </c>
      <c r="G9" s="38"/>
      <c r="H9" s="40" t="n">
        <f aca="false">(COUNT(ΙΑΝΟΥΑΡΙΟΣ!O3:O33) + COUNT(ΦΕΒΡΟΥΑΡΙΟΣ!O3:O33))*1.9</f>
        <v>32.3</v>
      </c>
      <c r="I9" s="41" t="n">
        <f aca="false">B9/H9</f>
        <v>0.804953560371517</v>
      </c>
      <c r="J9" s="40" t="str">
        <f aca="false">IF(B9 &gt;= H9, "BONUS ✅ (exceeds bonus for +" &amp; ROUND(B9 - H9, 0) &amp; " devices)", "need " &amp; ROUND(H9 - B9, 0) &amp; " devices")</f>
        <v>need 6 devices</v>
      </c>
    </row>
    <row r="10" customFormat="false" ht="33" hidden="false" customHeight="true" outlineLevel="0" collapsed="false">
      <c r="A10" s="39" t="s">
        <v>17</v>
      </c>
      <c r="B10" s="42" t="n">
        <f aca="false">SUM(B5:B9)</f>
        <v>261</v>
      </c>
    </row>
    <row r="11" customFormat="false" ht="15.75" hidden="false" customHeight="true" outlineLevel="0" collapsed="false">
      <c r="D11" s="43"/>
      <c r="G11" s="43"/>
      <c r="H11" s="43"/>
    </row>
    <row r="12" customFormat="false" ht="15.75" hidden="false" customHeight="true" outlineLevel="0" collapsed="false">
      <c r="A12" s="35"/>
      <c r="B12" s="36" t="s">
        <v>8</v>
      </c>
      <c r="C12" s="37" t="s">
        <v>12</v>
      </c>
      <c r="D12" s="37" t="s">
        <v>13</v>
      </c>
      <c r="E12" s="37" t="s">
        <v>14</v>
      </c>
      <c r="F12" s="40" t="s">
        <v>15</v>
      </c>
      <c r="G12" s="38"/>
      <c r="H12" s="37" t="s">
        <v>16</v>
      </c>
      <c r="I12" s="37" t="s">
        <v>14</v>
      </c>
      <c r="J12" s="37" t="s">
        <v>15</v>
      </c>
    </row>
    <row r="13" customFormat="false" ht="39" hidden="false" customHeight="true" outlineLevel="0" collapsed="false">
      <c r="A13" s="39" t="s">
        <v>1</v>
      </c>
      <c r="B13" s="40" t="n">
        <f aca="false">ΙΑΝΟΥΑΡΙΟΣ!C34 +ΦΕΒΡΟΥΑΡΙΟΣ!C34</f>
        <v>31</v>
      </c>
      <c r="C13" s="40" t="n">
        <f aca="false">COUNT(ΙΑΝΟΥΑΡΙΟΣ!C3:C33) + COUNT(ΦΕΒΡΟΥΑΡΙΟΣ!C3:C33)</f>
        <v>24</v>
      </c>
      <c r="D13" s="40" t="n">
        <f aca="false">(COUNT(ΙΑΝΟΥΑΡΙΟΣ!C3:C33) + COUNT(ΦΕΒΡΟΥΑΡΙΟΣ!C3:C33))*0.7</f>
        <v>16.8</v>
      </c>
      <c r="E13" s="41" t="n">
        <f aca="false">B13/D13</f>
        <v>1.8452380952381</v>
      </c>
      <c r="F13" s="40" t="str">
        <f aca="false">IF(B13 &gt;= D13, "BONUS ✅ (exceeds bonus for +" &amp; ROUND(B13-D13, 0) &amp; " devices)", "need " &amp; ROUND(D13-B13, 0) &amp; " devices")</f>
        <v>BONUS ✅ (exceeds bonus for +14 devices)</v>
      </c>
      <c r="G13" s="38"/>
      <c r="H13" s="40" t="n">
        <f aca="false">(COUNT(ΙΑΝΟΥΑΡΙΟΣ!C3:C33) + COUNT(ΦΕΒΡΟΥΑΡΙΟΣ!C3:C33))*0.9</f>
        <v>21.6</v>
      </c>
      <c r="I13" s="41" t="n">
        <f aca="false">B13/H13</f>
        <v>1.43518518518519</v>
      </c>
      <c r="J13" s="40" t="str">
        <f aca="false">IF(B13 &gt;= H13, "BONUS ✅ (exceeds bonus for +" &amp; ROUND(B13 - H13, 0) &amp; " devices)", "need " &amp; ROUND(H13 - B13, 0) &amp; " devices")</f>
        <v>BONUS ✅ (exceeds bonus for +9 devices)</v>
      </c>
    </row>
    <row r="14" customFormat="false" ht="39" hidden="false" customHeight="true" outlineLevel="0" collapsed="false">
      <c r="A14" s="39" t="s">
        <v>2</v>
      </c>
      <c r="B14" s="40" t="n">
        <f aca="false">ΙΑΝΟΥΑΡΙΟΣ!F34 +ΦΕΒΡΟΥΑΡΙΟΣ!F34</f>
        <v>16</v>
      </c>
      <c r="C14" s="40" t="n">
        <f aca="false">COUNT(ΙΑΝΟΥΑΡΙΟΣ!F3:F33) + COUNT(ΦΕΒΡΟΥΑΡΙΟΣ!F3:F33)</f>
        <v>24</v>
      </c>
      <c r="D14" s="40" t="n">
        <f aca="false">(COUNT(ΙΑΝΟΥΑΡΙΟΣ!F3:F33) + COUNT(ΦΕΒΡΟΥΑΡΙΟΣ!F3:F33))*0.7</f>
        <v>16.8</v>
      </c>
      <c r="E14" s="41" t="n">
        <f aca="false">B14/D14</f>
        <v>0.952380952380953</v>
      </c>
      <c r="F14" s="40" t="str">
        <f aca="false">IF(B14 &gt;= D14, "BONUS ✅ (exceeds bonus for +" &amp; ROUND(B14-D14, 0) &amp; " devices)", "need " &amp; ROUND(D14-B14, 0) &amp; " devices")</f>
        <v>need 1 devices</v>
      </c>
      <c r="G14" s="38"/>
      <c r="H14" s="40" t="n">
        <f aca="false">(COUNT(ΙΑΝΟΥΑΡΙΟΣ!F3:F33) + COUNT(ΦΕΒΡΟΥΑΡΙΟΣ!F3:F33))*0.9</f>
        <v>21.6</v>
      </c>
      <c r="I14" s="41" t="n">
        <f aca="false">B14/H14</f>
        <v>0.740740740740741</v>
      </c>
      <c r="J14" s="40" t="str">
        <f aca="false">IF(B14 &gt;= H14, "BONUS ✅ (exceeds bonus for +" &amp; ROUND(B14 - H14, 0) &amp; " devices)", "need " &amp; ROUND(H14 - B14, 0) &amp; " devices")</f>
        <v>need 6 devices</v>
      </c>
    </row>
    <row r="15" customFormat="false" ht="39" hidden="false" customHeight="true" outlineLevel="0" collapsed="false">
      <c r="A15" s="39" t="s">
        <v>3</v>
      </c>
      <c r="B15" s="40" t="n">
        <f aca="false">ΙΑΝΟΥΑΡΙΟΣ!I34 +ΦΕΒΡΟΥΑΡΙΟΣ!I34</f>
        <v>23</v>
      </c>
      <c r="C15" s="40" t="n">
        <f aca="false">COUNT(ΙΑΝΟΥΑΡΙΟΣ!I3:I33) + COUNT(ΦΕΒΡΟΥΑΡΙΟΣ!I3:I33)</f>
        <v>28</v>
      </c>
      <c r="D15" s="40" t="n">
        <f aca="false">(COUNT(ΙΑΝΟΥΑΡΙΟΣ!I3:I33) + COUNT(ΦΕΒΡΟΥΑΡΙΟΣ!I3:I33))*0.7</f>
        <v>19.6</v>
      </c>
      <c r="E15" s="41" t="n">
        <f aca="false">B15/D15</f>
        <v>1.1734693877551</v>
      </c>
      <c r="F15" s="40" t="str">
        <f aca="false">IF(B15 &gt;= D15, "BONUS ✅ (exceeds bonus for +" &amp; ROUND(B15-D15, 0) &amp; " devices)", "need " &amp; ROUND(D15-B15, 0) &amp; " devices")</f>
        <v>BONUS ✅ (exceeds bonus for +3 devices)</v>
      </c>
      <c r="G15" s="38"/>
      <c r="H15" s="40" t="n">
        <f aca="false">(COUNT(ΙΑΝΟΥΑΡΙΟΣ!I3:I33) + COUNT(ΦΕΒΡΟΥΑΡΙΟΣ!I3:I33))*0.9</f>
        <v>25.2</v>
      </c>
      <c r="I15" s="41" t="n">
        <f aca="false">B15/H15</f>
        <v>0.912698412698413</v>
      </c>
      <c r="J15" s="40" t="str">
        <f aca="false">IF(B15 &gt;= H15, "BONUS ✅ (exceeds bonus for +" &amp; ROUND(B15 - H15, 0) &amp; " devices)", "need " &amp; ROUND(H15 - B15, 0) &amp; " devices")</f>
        <v>need 2 devices</v>
      </c>
    </row>
    <row r="16" customFormat="false" ht="39" hidden="false" customHeight="true" outlineLevel="0" collapsed="false">
      <c r="A16" s="39" t="s">
        <v>4</v>
      </c>
      <c r="B16" s="40" t="n">
        <f aca="false">ΙΑΝΟΥΑΡΙΟΣ!L34 +ΦΕΒΡΟΥΑΡΙΟΣ!L34</f>
        <v>34</v>
      </c>
      <c r="C16" s="40" t="n">
        <f aca="false">COUNT(ΙΑΝΟΥΑΡΙΟΣ!L3:L33) + COUNT(ΦΕΒΡΟΥΑΡΙΟΣ!L3:L33)</f>
        <v>27</v>
      </c>
      <c r="D16" s="40" t="n">
        <f aca="false">(COUNT(ΙΑΝΟΥΑΡΙΟΣ!L3:L33) + COUNT(ΦΕΒΡΟΥΑΡΙΟΣ!L3:L33))*0.7</f>
        <v>18.9</v>
      </c>
      <c r="E16" s="41" t="n">
        <f aca="false">B16/D16</f>
        <v>1.7989417989418</v>
      </c>
      <c r="F16" s="40" t="str">
        <f aca="false">IF(B16 &gt;= D16, "BONUS ✅ (exceeds bonus for +" &amp; ROUND(B16-D16, 0) &amp; " devices)", "need " &amp; ROUND(D16-B16, 0) &amp; " devices")</f>
        <v>BONUS ✅ (exceeds bonus for +15 devices)</v>
      </c>
      <c r="G16" s="38"/>
      <c r="H16" s="40" t="n">
        <f aca="false">(COUNT(ΙΑΝΟΥΑΡΙΟΣ!L3:L33) + COUNT(ΦΕΒΡΟΥΑΡΙΟΣ!L3:L33))*0.9</f>
        <v>24.3</v>
      </c>
      <c r="I16" s="41" t="n">
        <f aca="false">B16/H16</f>
        <v>1.39917695473251</v>
      </c>
      <c r="J16" s="40" t="str">
        <f aca="false">IF(B16 &gt;= H16, "BONUS ✅ (exceeds bonus for +" &amp; ROUND(B16 - H16, 0) &amp; " devices)", "need " &amp; ROUND(H16 - B16, 0) &amp; " devices")</f>
        <v>BONUS ✅ (exceeds bonus for +10 devices)</v>
      </c>
    </row>
    <row r="17" customFormat="false" ht="39" hidden="false" customHeight="true" outlineLevel="0" collapsed="false">
      <c r="A17" s="39" t="s">
        <v>5</v>
      </c>
      <c r="B17" s="44" t="n">
        <f aca="false">ΙΑΝΟΥΑΡΙΟΣ!O34 +ΦΕΒΡΟΥΑΡΙΟΣ!O34</f>
        <v>10</v>
      </c>
      <c r="C17" s="40" t="n">
        <f aca="false">COUNT(ΙΑΝΟΥΑΡΙΟΣ!O3:O33) + COUNT(ΦΕΒΡΟΥΑΡΙΟΣ!O3:O33)</f>
        <v>17</v>
      </c>
      <c r="D17" s="40" t="n">
        <f aca="false">(COUNT(ΙΑΝΟΥΑΡΙΟΣ!O3:O33) + COUNT(ΦΕΒΡΟΥΑΡΙΟΣ!O3:O33))*0.7</f>
        <v>11.9</v>
      </c>
      <c r="E17" s="41" t="n">
        <f aca="false">B17/D17</f>
        <v>0.840336134453782</v>
      </c>
      <c r="F17" s="40" t="str">
        <f aca="false">IF(B17 &gt;= D17, "BONUS ✅ (exceeds bonus for +" &amp; ROUND(B17-D17, 0) &amp; " devices)", "need " &amp; ROUND(D17-B17, 0) &amp; " devices")</f>
        <v>need 2 devices</v>
      </c>
      <c r="G17" s="38"/>
      <c r="H17" s="40" t="n">
        <f aca="false">(COUNT(ΙΑΝΟΥΑΡΙΟΣ!O3:O33) + COUNT(ΦΕΒΡΟΥΑΡΙΟΣ!O3:O33))*0.9</f>
        <v>15.3</v>
      </c>
      <c r="I17" s="41" t="n">
        <f aca="false">B17/H17</f>
        <v>0.65359477124183</v>
      </c>
      <c r="J17" s="40" t="str">
        <f aca="false">IF(B17 &gt;= H17, "BONUS ✅ (exceeds bonus for +" &amp; ROUND(B17 - H17, 0) &amp; " devices)", "need " &amp; ROUND(H17 - B17, 0) &amp; " devices")</f>
        <v>need 5 devices</v>
      </c>
    </row>
    <row r="18" customFormat="false" ht="33" hidden="false" customHeight="true" outlineLevel="0" collapsed="false">
      <c r="A18" s="39" t="s">
        <v>17</v>
      </c>
      <c r="B18" s="45" t="n">
        <f aca="false">SUM(B13:B17)</f>
        <v>114</v>
      </c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97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30.71"/>
    <col collapsed="false" customWidth="true" hidden="false" outlineLevel="0" max="4" min="3" style="1" width="27.57"/>
    <col collapsed="false" customWidth="true" hidden="false" outlineLevel="0" max="5" min="5" style="1" width="19.29"/>
    <col collapsed="false" customWidth="true" hidden="false" outlineLevel="0" max="6" min="6" style="1" width="25.43"/>
    <col collapsed="false" customWidth="true" hidden="false" outlineLevel="0" max="7" min="7" style="1" width="27.86"/>
    <col collapsed="false" customWidth="true" hidden="false" outlineLevel="0" max="8" min="8" style="1" width="23.57"/>
    <col collapsed="false" customWidth="true" hidden="false" outlineLevel="0" max="9" min="9" style="1" width="25.14"/>
    <col collapsed="false" customWidth="true" hidden="false" outlineLevel="0" max="11" min="10" style="1" width="17.71"/>
    <col collapsed="false" customWidth="true" hidden="false" outlineLevel="0" max="26" min="12" style="1" width="8.71"/>
  </cols>
  <sheetData>
    <row r="2" customFormat="false" ht="15.75" hidden="false" customHeight="true" outlineLevel="0" collapsed="false"/>
    <row r="3" customFormat="false" ht="15.75" hidden="false" customHeight="true" outlineLevel="0" collapsed="false">
      <c r="E3" s="46" t="s">
        <v>18</v>
      </c>
      <c r="F3" s="46"/>
      <c r="G3" s="46"/>
    </row>
    <row r="4" customFormat="false" ht="15.75" hidden="false" customHeight="true" outlineLevel="0" collapsed="false">
      <c r="A4" s="47" t="n">
        <v>50</v>
      </c>
      <c r="B4" s="36" t="s">
        <v>7</v>
      </c>
      <c r="C4" s="48" t="s">
        <v>8</v>
      </c>
      <c r="D4" s="9" t="s">
        <v>9</v>
      </c>
      <c r="E4" s="36" t="s">
        <v>7</v>
      </c>
      <c r="F4" s="48" t="s">
        <v>8</v>
      </c>
      <c r="G4" s="9" t="s">
        <v>9</v>
      </c>
    </row>
    <row r="5" customFormat="false" ht="33" hidden="false" customHeight="true" outlineLevel="0" collapsed="false">
      <c r="A5" s="39" t="s">
        <v>1</v>
      </c>
      <c r="B5" s="47" t="n">
        <v>173</v>
      </c>
      <c r="C5" s="47" t="n">
        <v>58</v>
      </c>
      <c r="D5" s="47" t="n">
        <v>33</v>
      </c>
      <c r="E5" s="47"/>
      <c r="F5" s="47"/>
      <c r="G5" s="47"/>
    </row>
    <row r="6" customFormat="false" ht="33" hidden="false" customHeight="true" outlineLevel="0" collapsed="false">
      <c r="A6" s="39" t="s">
        <v>2</v>
      </c>
      <c r="B6" s="47" t="n">
        <v>89</v>
      </c>
      <c r="C6" s="47" t="n">
        <v>21</v>
      </c>
      <c r="D6" s="47" t="n">
        <v>14</v>
      </c>
      <c r="E6" s="49" t="n">
        <f aca="false">B6/42</f>
        <v>2.11904761904762</v>
      </c>
      <c r="F6" s="49" t="n">
        <f aca="false">C6/42</f>
        <v>0.5</v>
      </c>
      <c r="G6" s="49" t="n">
        <f aca="false">D6/42</f>
        <v>0.333333333333333</v>
      </c>
    </row>
    <row r="7" customFormat="false" ht="34.5" hidden="false" customHeight="true" outlineLevel="0" collapsed="false">
      <c r="A7" s="39" t="s">
        <v>3</v>
      </c>
      <c r="B7" s="47" t="n">
        <v>89</v>
      </c>
      <c r="C7" s="47" t="n">
        <v>28</v>
      </c>
      <c r="D7" s="47" t="n">
        <v>9</v>
      </c>
      <c r="E7" s="49" t="n">
        <f aca="false">B7/50</f>
        <v>1.78</v>
      </c>
      <c r="F7" s="49" t="n">
        <f aca="false">C7/50</f>
        <v>0.56</v>
      </c>
      <c r="G7" s="49" t="n">
        <f aca="false">D7/50</f>
        <v>0.18</v>
      </c>
    </row>
    <row r="8" customFormat="false" ht="34.5" hidden="false" customHeight="true" outlineLevel="0" collapsed="false">
      <c r="A8" s="39" t="s">
        <v>4</v>
      </c>
      <c r="B8" s="47" t="n">
        <v>34</v>
      </c>
      <c r="C8" s="47" t="n">
        <v>10</v>
      </c>
      <c r="D8" s="47" t="n">
        <v>1</v>
      </c>
      <c r="E8" s="47"/>
      <c r="F8" s="47"/>
      <c r="G8" s="47"/>
    </row>
    <row r="9" customFormat="false" ht="39" hidden="false" customHeight="true" outlineLevel="0" collapsed="false">
      <c r="A9" s="39" t="s">
        <v>5</v>
      </c>
      <c r="B9" s="47" t="s">
        <v>19</v>
      </c>
      <c r="C9" s="47" t="s">
        <v>19</v>
      </c>
      <c r="D9" s="47" t="s">
        <v>19</v>
      </c>
      <c r="E9" s="47"/>
      <c r="F9" s="47"/>
      <c r="G9" s="47"/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</sheetData>
  <mergeCells count="1">
    <mergeCell ref="E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2025-07-17T17:57:32Z</dcterms:created>
  <dc:creator>Papaioannou, Nasos</dc:creator>
  <dc:description/>
  <dc:language>el-GR</dc:language>
  <cp:lastModifiedBy/>
  <dcterms:modified xsi:type="dcterms:W3CDTF">2026-02-18T01:17:16Z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